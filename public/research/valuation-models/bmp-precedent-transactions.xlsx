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Web\portfolio\public\research\valuation-models\"/>
    </mc:Choice>
  </mc:AlternateContent>
  <xr:revisionPtr revIDLastSave="0" documentId="13_ncr:1_{D413B8AF-50FF-4A62-BA4F-AC3E8FEDE39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List" sheetId="1" r:id="rId1"/>
    <sheet name="Output" sheetId="2" r:id="rId2"/>
    <sheet name="ACQR;TRGT 1" sheetId="3" r:id="rId3"/>
    <sheet name="ACQR;TRGT 2" sheetId="4" r:id="rId4"/>
    <sheet name="ACQR;TRGT 3" sheetId="5" r:id="rId5"/>
    <sheet name="ACQR;TRGT 4" sheetId="6" r:id="rId6"/>
    <sheet name="ACQR;TRGT 5" sheetId="7" r:id="rId7"/>
    <sheet name="ACQR;TRGT 6" sheetId="8" r:id="rId8"/>
    <sheet name="ACQR;TRGT 7" sheetId="9" r:id="rId9"/>
    <sheet name="ACQR;TRGT 8" sheetId="10" r:id="rId10"/>
    <sheet name="ACQR;TRGT 9" sheetId="11" r:id="rId11"/>
    <sheet name="ACQR;TRGT 10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64" i="12" l="1"/>
  <c r="B63" i="12"/>
  <c r="B62" i="12"/>
  <c r="B61" i="12"/>
  <c r="B60" i="12"/>
  <c r="B59" i="12"/>
  <c r="L57" i="12"/>
  <c r="K57" i="12"/>
  <c r="J57" i="12"/>
  <c r="M56" i="12"/>
  <c r="M57" i="12" s="1"/>
  <c r="R55" i="12"/>
  <c r="L55" i="12"/>
  <c r="K55" i="12"/>
  <c r="J55" i="12"/>
  <c r="R54" i="12"/>
  <c r="M54" i="12"/>
  <c r="M55" i="12" s="1"/>
  <c r="R53" i="12"/>
  <c r="R52" i="12"/>
  <c r="R51" i="12"/>
  <c r="P46" i="12"/>
  <c r="M46" i="12"/>
  <c r="L45" i="12"/>
  <c r="M45" i="12" s="1"/>
  <c r="K45" i="12"/>
  <c r="J45" i="12"/>
  <c r="L44" i="12"/>
  <c r="K44" i="12"/>
  <c r="J44" i="12"/>
  <c r="R42" i="12"/>
  <c r="S42" i="12" s="1"/>
  <c r="M39" i="12"/>
  <c r="L39" i="12"/>
  <c r="K39" i="12"/>
  <c r="J39" i="12"/>
  <c r="M35" i="12"/>
  <c r="L34" i="12"/>
  <c r="K34" i="12"/>
  <c r="J34" i="12"/>
  <c r="M34" i="12" s="1"/>
  <c r="M29" i="12"/>
  <c r="M28" i="12"/>
  <c r="M30" i="12" s="1"/>
  <c r="M31" i="12" s="1"/>
  <c r="E27" i="12"/>
  <c r="S55" i="12" s="1"/>
  <c r="B26" i="12"/>
  <c r="M24" i="12"/>
  <c r="E24" i="12"/>
  <c r="M20" i="12"/>
  <c r="M19" i="12"/>
  <c r="M18" i="12"/>
  <c r="M16" i="12"/>
  <c r="M14" i="12"/>
  <c r="M13" i="12"/>
  <c r="M12" i="12"/>
  <c r="L12" i="12"/>
  <c r="L15" i="12" s="1"/>
  <c r="L33" i="12" s="1"/>
  <c r="L36" i="12" s="1"/>
  <c r="L37" i="12" s="1"/>
  <c r="K12" i="12"/>
  <c r="K28" i="12" s="1"/>
  <c r="K30" i="12" s="1"/>
  <c r="K31" i="12" s="1"/>
  <c r="J12" i="12"/>
  <c r="M11" i="12"/>
  <c r="M10" i="12"/>
  <c r="E41" i="12" s="1"/>
  <c r="M9" i="12"/>
  <c r="A1" i="12"/>
  <c r="B64" i="11"/>
  <c r="B63" i="11"/>
  <c r="B62" i="11"/>
  <c r="B61" i="11"/>
  <c r="B60" i="11"/>
  <c r="B59" i="11"/>
  <c r="M57" i="11"/>
  <c r="L57" i="11"/>
  <c r="K57" i="11"/>
  <c r="J57" i="11"/>
  <c r="M56" i="11"/>
  <c r="R55" i="11"/>
  <c r="L55" i="11"/>
  <c r="K55" i="11"/>
  <c r="J55" i="11"/>
  <c r="R54" i="11"/>
  <c r="M54" i="11"/>
  <c r="M39" i="11" s="1"/>
  <c r="R53" i="11"/>
  <c r="R52" i="11"/>
  <c r="R51" i="11"/>
  <c r="P46" i="11"/>
  <c r="M46" i="11"/>
  <c r="L45" i="11"/>
  <c r="L47" i="11" s="1"/>
  <c r="K45" i="11"/>
  <c r="J45" i="11"/>
  <c r="M45" i="11" s="1"/>
  <c r="L44" i="11"/>
  <c r="K44" i="11"/>
  <c r="K47" i="11" s="1"/>
  <c r="J44" i="11"/>
  <c r="J47" i="11" s="1"/>
  <c r="E41" i="11"/>
  <c r="L39" i="11"/>
  <c r="K39" i="11"/>
  <c r="J39" i="11"/>
  <c r="M35" i="11"/>
  <c r="L34" i="11"/>
  <c r="K34" i="11"/>
  <c r="J34" i="11"/>
  <c r="L30" i="11"/>
  <c r="L31" i="11" s="1"/>
  <c r="K30" i="11"/>
  <c r="K31" i="11" s="1"/>
  <c r="M29" i="11"/>
  <c r="B26" i="11"/>
  <c r="M24" i="11"/>
  <c r="E24" i="11"/>
  <c r="E27" i="11" s="1"/>
  <c r="M20" i="11"/>
  <c r="M19" i="11"/>
  <c r="M18" i="11"/>
  <c r="M16" i="11"/>
  <c r="L15" i="11"/>
  <c r="L33" i="11" s="1"/>
  <c r="K15" i="11"/>
  <c r="K17" i="11" s="1"/>
  <c r="K22" i="11" s="1"/>
  <c r="J15" i="11"/>
  <c r="J17" i="11" s="1"/>
  <c r="J22" i="11" s="1"/>
  <c r="M14" i="11"/>
  <c r="M13" i="11"/>
  <c r="L12" i="11"/>
  <c r="L28" i="11" s="1"/>
  <c r="K12" i="11"/>
  <c r="K28" i="11" s="1"/>
  <c r="J12" i="11"/>
  <c r="J28" i="11" s="1"/>
  <c r="J30" i="11" s="1"/>
  <c r="J31" i="11" s="1"/>
  <c r="M11" i="11"/>
  <c r="M10" i="11"/>
  <c r="M12" i="11" s="1"/>
  <c r="M9" i="11"/>
  <c r="A1" i="11"/>
  <c r="B64" i="10"/>
  <c r="B63" i="10"/>
  <c r="B62" i="10"/>
  <c r="B61" i="10"/>
  <c r="B60" i="10"/>
  <c r="B59" i="10"/>
  <c r="L57" i="10"/>
  <c r="K57" i="10"/>
  <c r="J57" i="10"/>
  <c r="M56" i="10"/>
  <c r="M57" i="10" s="1"/>
  <c r="R55" i="10"/>
  <c r="L55" i="10"/>
  <c r="K55" i="10"/>
  <c r="J55" i="10"/>
  <c r="R54" i="10"/>
  <c r="M54" i="10"/>
  <c r="R53" i="10"/>
  <c r="R52" i="10"/>
  <c r="R51" i="10"/>
  <c r="P46" i="10"/>
  <c r="M46" i="10"/>
  <c r="L45" i="10"/>
  <c r="K45" i="10"/>
  <c r="J45" i="10"/>
  <c r="L44" i="10"/>
  <c r="K44" i="10"/>
  <c r="J44" i="10"/>
  <c r="E41" i="10"/>
  <c r="M39" i="10"/>
  <c r="L39" i="10"/>
  <c r="K39" i="10"/>
  <c r="J39" i="10"/>
  <c r="M35" i="10"/>
  <c r="L34" i="10"/>
  <c r="K34" i="10"/>
  <c r="J34" i="10"/>
  <c r="M34" i="10" s="1"/>
  <c r="M29" i="10"/>
  <c r="B26" i="10"/>
  <c r="M24" i="10"/>
  <c r="E24" i="10"/>
  <c r="E27" i="10" s="1"/>
  <c r="M20" i="10"/>
  <c r="M19" i="10"/>
  <c r="M18" i="10"/>
  <c r="M16" i="10"/>
  <c r="M14" i="10"/>
  <c r="M13" i="10"/>
  <c r="M12" i="10"/>
  <c r="L12" i="10"/>
  <c r="L28" i="10" s="1"/>
  <c r="L30" i="10" s="1"/>
  <c r="L31" i="10" s="1"/>
  <c r="K12" i="10"/>
  <c r="K28" i="10" s="1"/>
  <c r="K30" i="10" s="1"/>
  <c r="K31" i="10" s="1"/>
  <c r="J12" i="10"/>
  <c r="J15" i="10" s="1"/>
  <c r="M11" i="10"/>
  <c r="M10" i="10"/>
  <c r="M55" i="10" s="1"/>
  <c r="M9" i="10"/>
  <c r="A1" i="10"/>
  <c r="B64" i="9"/>
  <c r="B63" i="9"/>
  <c r="B62" i="9"/>
  <c r="B61" i="9"/>
  <c r="B60" i="9"/>
  <c r="B59" i="9"/>
  <c r="L57" i="9"/>
  <c r="K57" i="9"/>
  <c r="J57" i="9"/>
  <c r="M56" i="9"/>
  <c r="R55" i="9"/>
  <c r="L55" i="9"/>
  <c r="K55" i="9"/>
  <c r="J55" i="9"/>
  <c r="R54" i="9"/>
  <c r="M54" i="9"/>
  <c r="M39" i="9" s="1"/>
  <c r="R53" i="9"/>
  <c r="R52" i="9"/>
  <c r="R51" i="9"/>
  <c r="P46" i="9"/>
  <c r="M46" i="9"/>
  <c r="L45" i="9"/>
  <c r="K45" i="9"/>
  <c r="J45" i="9"/>
  <c r="L44" i="9"/>
  <c r="L47" i="9" s="1"/>
  <c r="K44" i="9"/>
  <c r="K47" i="9" s="1"/>
  <c r="J44" i="9"/>
  <c r="J47" i="9" s="1"/>
  <c r="L39" i="9"/>
  <c r="K39" i="9"/>
  <c r="J39" i="9"/>
  <c r="M35" i="9"/>
  <c r="L34" i="9"/>
  <c r="M34" i="9" s="1"/>
  <c r="K34" i="9"/>
  <c r="J34" i="9"/>
  <c r="J30" i="9"/>
  <c r="J31" i="9" s="1"/>
  <c r="M29" i="9"/>
  <c r="K28" i="9"/>
  <c r="K30" i="9" s="1"/>
  <c r="K31" i="9" s="1"/>
  <c r="J28" i="9"/>
  <c r="B26" i="9"/>
  <c r="M24" i="9"/>
  <c r="E24" i="9"/>
  <c r="E27" i="9" s="1"/>
  <c r="M20" i="9"/>
  <c r="M19" i="9"/>
  <c r="M18" i="9"/>
  <c r="M16" i="9"/>
  <c r="K15" i="9"/>
  <c r="K17" i="9" s="1"/>
  <c r="K21" i="9" s="1"/>
  <c r="K43" i="9" s="1"/>
  <c r="K48" i="9" s="1"/>
  <c r="J15" i="9"/>
  <c r="J33" i="9" s="1"/>
  <c r="J36" i="9" s="1"/>
  <c r="M14" i="9"/>
  <c r="M13" i="9"/>
  <c r="L12" i="9"/>
  <c r="L28" i="9" s="1"/>
  <c r="L30" i="9" s="1"/>
  <c r="L31" i="9" s="1"/>
  <c r="K12" i="9"/>
  <c r="J12" i="9"/>
  <c r="M11" i="9"/>
  <c r="M10" i="9"/>
  <c r="M12" i="9" s="1"/>
  <c r="M9" i="9"/>
  <c r="A1" i="9"/>
  <c r="B64" i="8"/>
  <c r="B63" i="8"/>
  <c r="B62" i="8"/>
  <c r="B61" i="8"/>
  <c r="B60" i="8"/>
  <c r="B59" i="8"/>
  <c r="L57" i="8"/>
  <c r="K57" i="8"/>
  <c r="J57" i="8"/>
  <c r="M56" i="8"/>
  <c r="R55" i="8"/>
  <c r="L55" i="8"/>
  <c r="K55" i="8"/>
  <c r="J55" i="8"/>
  <c r="R54" i="8"/>
  <c r="M54" i="8"/>
  <c r="M55" i="8" s="1"/>
  <c r="R53" i="8"/>
  <c r="R52" i="8"/>
  <c r="R51" i="8"/>
  <c r="P46" i="8"/>
  <c r="M46" i="8"/>
  <c r="L45" i="8"/>
  <c r="L47" i="8" s="1"/>
  <c r="K45" i="8"/>
  <c r="K47" i="8" s="1"/>
  <c r="J45" i="8"/>
  <c r="L44" i="8"/>
  <c r="K44" i="8"/>
  <c r="J44" i="8"/>
  <c r="L39" i="8"/>
  <c r="K39" i="8"/>
  <c r="J39" i="8"/>
  <c r="M35" i="8"/>
  <c r="L34" i="8"/>
  <c r="K34" i="8"/>
  <c r="J34" i="8"/>
  <c r="M34" i="8" s="1"/>
  <c r="M29" i="8"/>
  <c r="L28" i="8"/>
  <c r="L30" i="8" s="1"/>
  <c r="L31" i="8" s="1"/>
  <c r="K28" i="8"/>
  <c r="K30" i="8" s="1"/>
  <c r="K31" i="8" s="1"/>
  <c r="J28" i="8"/>
  <c r="J30" i="8" s="1"/>
  <c r="J31" i="8" s="1"/>
  <c r="E27" i="8"/>
  <c r="E53" i="8" s="1"/>
  <c r="Q15" i="2" s="1"/>
  <c r="B26" i="8"/>
  <c r="M24" i="8"/>
  <c r="E24" i="8"/>
  <c r="M20" i="8"/>
  <c r="M19" i="8"/>
  <c r="M18" i="8"/>
  <c r="M16" i="8"/>
  <c r="L15" i="8"/>
  <c r="L17" i="8" s="1"/>
  <c r="L21" i="8" s="1"/>
  <c r="L43" i="8" s="1"/>
  <c r="K15" i="8"/>
  <c r="K17" i="8" s="1"/>
  <c r="J15" i="8"/>
  <c r="J33" i="8" s="1"/>
  <c r="J36" i="8" s="1"/>
  <c r="J37" i="8" s="1"/>
  <c r="M14" i="8"/>
  <c r="M13" i="8"/>
  <c r="L12" i="8"/>
  <c r="K12" i="8"/>
  <c r="J12" i="8"/>
  <c r="M11" i="8"/>
  <c r="M10" i="8"/>
  <c r="E41" i="8" s="1"/>
  <c r="M9" i="8"/>
  <c r="A1" i="8"/>
  <c r="B64" i="7"/>
  <c r="B63" i="7"/>
  <c r="B62" i="7"/>
  <c r="B61" i="7"/>
  <c r="B60" i="7"/>
  <c r="B59" i="7"/>
  <c r="L57" i="7"/>
  <c r="K57" i="7"/>
  <c r="J57" i="7"/>
  <c r="M56" i="7"/>
  <c r="R55" i="7"/>
  <c r="L55" i="7"/>
  <c r="K55" i="7"/>
  <c r="J55" i="7"/>
  <c r="R54" i="7"/>
  <c r="M54" i="7"/>
  <c r="M39" i="7" s="1"/>
  <c r="R53" i="7"/>
  <c r="R52" i="7"/>
  <c r="R51" i="7"/>
  <c r="E51" i="7"/>
  <c r="P46" i="7"/>
  <c r="M46" i="7"/>
  <c r="L45" i="7"/>
  <c r="K45" i="7"/>
  <c r="J45" i="7"/>
  <c r="M45" i="7" s="1"/>
  <c r="L44" i="7"/>
  <c r="L47" i="7" s="1"/>
  <c r="K44" i="7"/>
  <c r="K47" i="7" s="1"/>
  <c r="J44" i="7"/>
  <c r="J47" i="7" s="1"/>
  <c r="L39" i="7"/>
  <c r="K39" i="7"/>
  <c r="J39" i="7"/>
  <c r="M35" i="7"/>
  <c r="L34" i="7"/>
  <c r="K34" i="7"/>
  <c r="J34" i="7"/>
  <c r="M29" i="7"/>
  <c r="E27" i="7"/>
  <c r="S53" i="7" s="1"/>
  <c r="B26" i="7"/>
  <c r="M24" i="7"/>
  <c r="E24" i="7"/>
  <c r="M20" i="7"/>
  <c r="M19" i="7"/>
  <c r="M18" i="7"/>
  <c r="M16" i="7"/>
  <c r="M14" i="7"/>
  <c r="M13" i="7"/>
  <c r="L12" i="7"/>
  <c r="L28" i="7" s="1"/>
  <c r="L30" i="7" s="1"/>
  <c r="L31" i="7" s="1"/>
  <c r="K12" i="7"/>
  <c r="K28" i="7" s="1"/>
  <c r="K30" i="7" s="1"/>
  <c r="K31" i="7" s="1"/>
  <c r="J12" i="7"/>
  <c r="J28" i="7" s="1"/>
  <c r="J30" i="7" s="1"/>
  <c r="J31" i="7" s="1"/>
  <c r="M11" i="7"/>
  <c r="M10" i="7"/>
  <c r="M9" i="7"/>
  <c r="A1" i="7"/>
  <c r="B64" i="6"/>
  <c r="B63" i="6"/>
  <c r="B62" i="6"/>
  <c r="B61" i="6"/>
  <c r="B60" i="6"/>
  <c r="B59" i="6"/>
  <c r="L57" i="6"/>
  <c r="K57" i="6"/>
  <c r="J57" i="6"/>
  <c r="M56" i="6"/>
  <c r="R55" i="6"/>
  <c r="L55" i="6"/>
  <c r="K55" i="6"/>
  <c r="J55" i="6"/>
  <c r="R54" i="6"/>
  <c r="M54" i="6"/>
  <c r="M39" i="6" s="1"/>
  <c r="R53" i="6"/>
  <c r="R52" i="6"/>
  <c r="R51" i="6"/>
  <c r="P46" i="6"/>
  <c r="M46" i="6"/>
  <c r="L45" i="6"/>
  <c r="K45" i="6"/>
  <c r="J45" i="6"/>
  <c r="L44" i="6"/>
  <c r="L47" i="6" s="1"/>
  <c r="K44" i="6"/>
  <c r="K47" i="6" s="1"/>
  <c r="J44" i="6"/>
  <c r="J47" i="6" s="1"/>
  <c r="L39" i="6"/>
  <c r="K39" i="6"/>
  <c r="J39" i="6"/>
  <c r="M35" i="6"/>
  <c r="L34" i="6"/>
  <c r="K34" i="6"/>
  <c r="J34" i="6"/>
  <c r="M29" i="6"/>
  <c r="L28" i="6"/>
  <c r="L30" i="6" s="1"/>
  <c r="L31" i="6" s="1"/>
  <c r="B26" i="6"/>
  <c r="M24" i="6"/>
  <c r="E24" i="6"/>
  <c r="E27" i="6" s="1"/>
  <c r="M20" i="6"/>
  <c r="M19" i="6"/>
  <c r="M18" i="6"/>
  <c r="M16" i="6"/>
  <c r="M14" i="6"/>
  <c r="M13" i="6"/>
  <c r="L12" i="6"/>
  <c r="L15" i="6" s="1"/>
  <c r="K12" i="6"/>
  <c r="K28" i="6" s="1"/>
  <c r="K30" i="6" s="1"/>
  <c r="K31" i="6" s="1"/>
  <c r="J12" i="6"/>
  <c r="M11" i="6"/>
  <c r="M10" i="6"/>
  <c r="M57" i="6" s="1"/>
  <c r="M9" i="6"/>
  <c r="A1" i="6"/>
  <c r="B64" i="5"/>
  <c r="B63" i="5"/>
  <c r="B62" i="5"/>
  <c r="B61" i="5"/>
  <c r="B60" i="5"/>
  <c r="B59" i="5"/>
  <c r="L57" i="5"/>
  <c r="K57" i="5"/>
  <c r="J57" i="5"/>
  <c r="M56" i="5"/>
  <c r="R55" i="5"/>
  <c r="L55" i="5"/>
  <c r="K55" i="5"/>
  <c r="J55" i="5"/>
  <c r="R54" i="5"/>
  <c r="M54" i="5"/>
  <c r="M55" i="5" s="1"/>
  <c r="E54" i="5"/>
  <c r="R12" i="2" s="1"/>
  <c r="R53" i="5"/>
  <c r="R52" i="5"/>
  <c r="R51" i="5"/>
  <c r="P46" i="5"/>
  <c r="M46" i="5"/>
  <c r="L45" i="5"/>
  <c r="K45" i="5"/>
  <c r="J45" i="5"/>
  <c r="L44" i="5"/>
  <c r="K44" i="5"/>
  <c r="J44" i="5"/>
  <c r="M44" i="5" s="1"/>
  <c r="L39" i="5"/>
  <c r="K39" i="5"/>
  <c r="J39" i="5"/>
  <c r="M35" i="5"/>
  <c r="L34" i="5"/>
  <c r="K34" i="5"/>
  <c r="J34" i="5"/>
  <c r="M29" i="5"/>
  <c r="E27" i="5"/>
  <c r="R42" i="5" s="1"/>
  <c r="S42" i="5" s="1"/>
  <c r="B26" i="5"/>
  <c r="M24" i="5"/>
  <c r="E24" i="5"/>
  <c r="M20" i="5"/>
  <c r="M19" i="5"/>
  <c r="M18" i="5"/>
  <c r="M16" i="5"/>
  <c r="M14" i="5"/>
  <c r="M13" i="5"/>
  <c r="L12" i="5"/>
  <c r="L15" i="5" s="1"/>
  <c r="L33" i="5" s="1"/>
  <c r="L36" i="5" s="1"/>
  <c r="K12" i="5"/>
  <c r="K15" i="5" s="1"/>
  <c r="K33" i="5" s="1"/>
  <c r="K36" i="5" s="1"/>
  <c r="J12" i="5"/>
  <c r="J28" i="5" s="1"/>
  <c r="J30" i="5" s="1"/>
  <c r="J31" i="5" s="1"/>
  <c r="M11" i="5"/>
  <c r="M10" i="5"/>
  <c r="H7" i="1" s="1"/>
  <c r="M9" i="5"/>
  <c r="A1" i="5"/>
  <c r="B64" i="4"/>
  <c r="B63" i="4"/>
  <c r="B62" i="4"/>
  <c r="B61" i="4"/>
  <c r="B60" i="4"/>
  <c r="B59" i="4"/>
  <c r="L57" i="4"/>
  <c r="K57" i="4"/>
  <c r="J57" i="4"/>
  <c r="M56" i="4"/>
  <c r="M57" i="4" s="1"/>
  <c r="R55" i="4"/>
  <c r="L55" i="4"/>
  <c r="K55" i="4"/>
  <c r="J55" i="4"/>
  <c r="R54" i="4"/>
  <c r="M54" i="4"/>
  <c r="R53" i="4"/>
  <c r="R52" i="4"/>
  <c r="R51" i="4"/>
  <c r="P46" i="4"/>
  <c r="M46" i="4"/>
  <c r="M45" i="4"/>
  <c r="L45" i="4"/>
  <c r="K45" i="4"/>
  <c r="J45" i="4"/>
  <c r="L44" i="4"/>
  <c r="K44" i="4"/>
  <c r="K47" i="4" s="1"/>
  <c r="J44" i="4"/>
  <c r="L39" i="4"/>
  <c r="K39" i="4"/>
  <c r="J39" i="4"/>
  <c r="M35" i="4"/>
  <c r="L34" i="4"/>
  <c r="M34" i="4" s="1"/>
  <c r="K34" i="4"/>
  <c r="J34" i="4"/>
  <c r="M29" i="4"/>
  <c r="E27" i="4"/>
  <c r="S52" i="4" s="1"/>
  <c r="B26" i="4"/>
  <c r="M24" i="4"/>
  <c r="E24" i="4"/>
  <c r="M20" i="4"/>
  <c r="M19" i="4"/>
  <c r="M18" i="4"/>
  <c r="M16" i="4"/>
  <c r="M14" i="4"/>
  <c r="M13" i="4"/>
  <c r="L12" i="4"/>
  <c r="L28" i="4" s="1"/>
  <c r="L30" i="4" s="1"/>
  <c r="L31" i="4" s="1"/>
  <c r="K12" i="4"/>
  <c r="K28" i="4" s="1"/>
  <c r="K30" i="4" s="1"/>
  <c r="K31" i="4" s="1"/>
  <c r="J12" i="4"/>
  <c r="J15" i="4" s="1"/>
  <c r="J33" i="4" s="1"/>
  <c r="J36" i="4" s="1"/>
  <c r="M11" i="4"/>
  <c r="M10" i="4"/>
  <c r="E41" i="4" s="1"/>
  <c r="M9" i="4"/>
  <c r="A1" i="4"/>
  <c r="B64" i="3"/>
  <c r="B63" i="3"/>
  <c r="B62" i="3"/>
  <c r="B61" i="3"/>
  <c r="B60" i="3"/>
  <c r="B59" i="3"/>
  <c r="L57" i="3"/>
  <c r="K57" i="3"/>
  <c r="J57" i="3"/>
  <c r="M56" i="3"/>
  <c r="M57" i="3" s="1"/>
  <c r="R55" i="3"/>
  <c r="M55" i="3"/>
  <c r="L55" i="3"/>
  <c r="K55" i="3"/>
  <c r="J55" i="3"/>
  <c r="R54" i="3"/>
  <c r="M54" i="3"/>
  <c r="M39" i="3" s="1"/>
  <c r="R53" i="3"/>
  <c r="R52" i="3"/>
  <c r="R51" i="3"/>
  <c r="P46" i="3"/>
  <c r="M46" i="3"/>
  <c r="L45" i="3"/>
  <c r="L47" i="3" s="1"/>
  <c r="K45" i="3"/>
  <c r="J45" i="3"/>
  <c r="L44" i="3"/>
  <c r="K44" i="3"/>
  <c r="J44" i="3"/>
  <c r="M44" i="3" s="1"/>
  <c r="E41" i="3"/>
  <c r="L39" i="3"/>
  <c r="K39" i="3"/>
  <c r="J39" i="3"/>
  <c r="M35" i="3"/>
  <c r="L34" i="3"/>
  <c r="K34" i="3"/>
  <c r="J34" i="3"/>
  <c r="M29" i="3"/>
  <c r="B26" i="3"/>
  <c r="M24" i="3"/>
  <c r="E24" i="3"/>
  <c r="E27" i="3" s="1"/>
  <c r="S53" i="3" s="1"/>
  <c r="M20" i="3"/>
  <c r="M19" i="3"/>
  <c r="M18" i="3"/>
  <c r="M16" i="3"/>
  <c r="M14" i="3"/>
  <c r="M13" i="3"/>
  <c r="L12" i="3"/>
  <c r="L28" i="3" s="1"/>
  <c r="L30" i="3" s="1"/>
  <c r="L31" i="3" s="1"/>
  <c r="K12" i="3"/>
  <c r="K28" i="3" s="1"/>
  <c r="K30" i="3" s="1"/>
  <c r="K31" i="3" s="1"/>
  <c r="J12" i="3"/>
  <c r="J28" i="3" s="1"/>
  <c r="J30" i="3" s="1"/>
  <c r="J31" i="3" s="1"/>
  <c r="M11" i="3"/>
  <c r="M10" i="3"/>
  <c r="M9" i="3"/>
  <c r="A1" i="3"/>
  <c r="P22" i="2"/>
  <c r="P21" i="2"/>
  <c r="F19" i="2"/>
  <c r="E19" i="2"/>
  <c r="D19" i="2"/>
  <c r="C19" i="2"/>
  <c r="B19" i="2"/>
  <c r="F18" i="2"/>
  <c r="E18" i="2"/>
  <c r="D18" i="2"/>
  <c r="C18" i="2"/>
  <c r="B18" i="2"/>
  <c r="F17" i="2"/>
  <c r="E17" i="2"/>
  <c r="D17" i="2"/>
  <c r="C17" i="2"/>
  <c r="B17" i="2"/>
  <c r="F16" i="2"/>
  <c r="E16" i="2"/>
  <c r="D16" i="2"/>
  <c r="C16" i="2"/>
  <c r="B16" i="2"/>
  <c r="F15" i="2"/>
  <c r="E15" i="2"/>
  <c r="D15" i="2"/>
  <c r="C15" i="2"/>
  <c r="B15" i="2"/>
  <c r="F14" i="2"/>
  <c r="E14" i="2"/>
  <c r="D14" i="2"/>
  <c r="C14" i="2"/>
  <c r="B14" i="2"/>
  <c r="F13" i="2"/>
  <c r="E13" i="2"/>
  <c r="D13" i="2"/>
  <c r="C13" i="2"/>
  <c r="B13" i="2"/>
  <c r="F12" i="2"/>
  <c r="E12" i="2"/>
  <c r="D12" i="2"/>
  <c r="C12" i="2"/>
  <c r="B12" i="2"/>
  <c r="F11" i="2"/>
  <c r="E11" i="2"/>
  <c r="D11" i="2"/>
  <c r="C11" i="2"/>
  <c r="B11" i="2"/>
  <c r="F10" i="2"/>
  <c r="E10" i="2"/>
  <c r="D10" i="2"/>
  <c r="C10" i="2"/>
  <c r="B10" i="2"/>
  <c r="H14" i="1"/>
  <c r="E14" i="1"/>
  <c r="D14" i="1"/>
  <c r="C14" i="1"/>
  <c r="B14" i="1"/>
  <c r="A14" i="1"/>
  <c r="H13" i="1"/>
  <c r="E13" i="1"/>
  <c r="D13" i="1"/>
  <c r="C13" i="1"/>
  <c r="B13" i="1"/>
  <c r="A13" i="1"/>
  <c r="H12" i="1"/>
  <c r="E12" i="1"/>
  <c r="D12" i="1"/>
  <c r="C12" i="1"/>
  <c r="B12" i="1"/>
  <c r="A12" i="1"/>
  <c r="H11" i="1"/>
  <c r="E11" i="1"/>
  <c r="D11" i="1"/>
  <c r="C11" i="1"/>
  <c r="B11" i="1"/>
  <c r="A11" i="1"/>
  <c r="H10" i="1"/>
  <c r="E10" i="1"/>
  <c r="D10" i="1"/>
  <c r="C10" i="1"/>
  <c r="B10" i="1"/>
  <c r="A10" i="1"/>
  <c r="H9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H6" i="1"/>
  <c r="E6" i="1"/>
  <c r="D6" i="1"/>
  <c r="C6" i="1"/>
  <c r="B6" i="1"/>
  <c r="A6" i="1"/>
  <c r="H5" i="1"/>
  <c r="E5" i="1"/>
  <c r="D5" i="1"/>
  <c r="C5" i="1"/>
  <c r="B5" i="1"/>
  <c r="A5" i="1"/>
  <c r="E55" i="10" l="1"/>
  <c r="S17" i="2" s="1"/>
  <c r="E53" i="10"/>
  <c r="Q17" i="2" s="1"/>
  <c r="R42" i="10"/>
  <c r="S42" i="10" s="1"/>
  <c r="S51" i="10"/>
  <c r="S55" i="10"/>
  <c r="J17" i="10"/>
  <c r="J33" i="10"/>
  <c r="J36" i="10" s="1"/>
  <c r="J37" i="10" s="1"/>
  <c r="M47" i="3"/>
  <c r="M28" i="11"/>
  <c r="M30" i="11" s="1"/>
  <c r="M31" i="11" s="1"/>
  <c r="M15" i="11"/>
  <c r="M33" i="11" s="1"/>
  <c r="M36" i="11" s="1"/>
  <c r="L40" i="5"/>
  <c r="L41" i="5" s="1"/>
  <c r="L37" i="5"/>
  <c r="R43" i="7"/>
  <c r="S43" i="7" s="1"/>
  <c r="S51" i="7"/>
  <c r="L48" i="8"/>
  <c r="M34" i="5"/>
  <c r="J47" i="5"/>
  <c r="M57" i="5"/>
  <c r="L15" i="7"/>
  <c r="S55" i="7"/>
  <c r="M15" i="10"/>
  <c r="M33" i="10" s="1"/>
  <c r="M36" i="10" s="1"/>
  <c r="L36" i="11"/>
  <c r="L37" i="11" s="1"/>
  <c r="L28" i="12"/>
  <c r="L30" i="12" s="1"/>
  <c r="L31" i="12" s="1"/>
  <c r="M12" i="6"/>
  <c r="M15" i="6" s="1"/>
  <c r="K47" i="5"/>
  <c r="S54" i="5"/>
  <c r="M34" i="6"/>
  <c r="M34" i="7"/>
  <c r="M44" i="7"/>
  <c r="M47" i="7" s="1"/>
  <c r="S52" i="7"/>
  <c r="J15" i="3"/>
  <c r="R41" i="4"/>
  <c r="M12" i="5"/>
  <c r="M28" i="5" s="1"/>
  <c r="M30" i="5" s="1"/>
  <c r="M31" i="5" s="1"/>
  <c r="M45" i="5"/>
  <c r="E55" i="5"/>
  <c r="S12" i="2" s="1"/>
  <c r="M45" i="6"/>
  <c r="M55" i="6"/>
  <c r="R44" i="7"/>
  <c r="S44" i="7" s="1"/>
  <c r="E53" i="7"/>
  <c r="Q14" i="2" s="1"/>
  <c r="M39" i="8"/>
  <c r="L15" i="9"/>
  <c r="L17" i="9" s="1"/>
  <c r="L22" i="9" s="1"/>
  <c r="J28" i="10"/>
  <c r="J30" i="10" s="1"/>
  <c r="J31" i="10" s="1"/>
  <c r="K15" i="12"/>
  <c r="R43" i="12"/>
  <c r="S43" i="12" s="1"/>
  <c r="E53" i="12"/>
  <c r="Q19" i="2" s="1"/>
  <c r="M55" i="4"/>
  <c r="R42" i="8"/>
  <c r="S42" i="8" s="1"/>
  <c r="E51" i="8"/>
  <c r="M55" i="11"/>
  <c r="K15" i="3"/>
  <c r="K33" i="3" s="1"/>
  <c r="L15" i="3"/>
  <c r="K28" i="5"/>
  <c r="K30" i="5" s="1"/>
  <c r="K31" i="5" s="1"/>
  <c r="E54" i="7"/>
  <c r="R14" i="2" s="1"/>
  <c r="L22" i="8"/>
  <c r="L33" i="8"/>
  <c r="L36" i="8" s="1"/>
  <c r="L37" i="8" s="1"/>
  <c r="J17" i="9"/>
  <c r="H8" i="1"/>
  <c r="J28" i="4"/>
  <c r="J30" i="4" s="1"/>
  <c r="J31" i="4" s="1"/>
  <c r="L47" i="4"/>
  <c r="J15" i="5"/>
  <c r="J33" i="5" s="1"/>
  <c r="J36" i="5" s="1"/>
  <c r="L28" i="5"/>
  <c r="L30" i="5" s="1"/>
  <c r="L31" i="5" s="1"/>
  <c r="E51" i="5"/>
  <c r="J47" i="8"/>
  <c r="S51" i="8"/>
  <c r="M57" i="8"/>
  <c r="L47" i="12"/>
  <c r="M39" i="5"/>
  <c r="M12" i="8"/>
  <c r="M28" i="8" s="1"/>
  <c r="M30" i="8" s="1"/>
  <c r="M31" i="8" s="1"/>
  <c r="K33" i="9"/>
  <c r="K36" i="9" s="1"/>
  <c r="K47" i="10"/>
  <c r="R44" i="12"/>
  <c r="S44" i="12" s="1"/>
  <c r="S54" i="12"/>
  <c r="M12" i="3"/>
  <c r="M45" i="3"/>
  <c r="K15" i="4"/>
  <c r="E41" i="5"/>
  <c r="S54" i="7"/>
  <c r="L25" i="8"/>
  <c r="S52" i="8"/>
  <c r="L47" i="10"/>
  <c r="K47" i="3"/>
  <c r="L15" i="4"/>
  <c r="R43" i="5"/>
  <c r="S43" i="5" s="1"/>
  <c r="S52" i="5"/>
  <c r="E41" i="6"/>
  <c r="R42" i="7"/>
  <c r="S42" i="7" s="1"/>
  <c r="R44" i="8"/>
  <c r="S44" i="8" s="1"/>
  <c r="M45" i="10"/>
  <c r="K47" i="12"/>
  <c r="K22" i="8"/>
  <c r="K21" i="8"/>
  <c r="L33" i="3"/>
  <c r="L36" i="3" s="1"/>
  <c r="L17" i="3"/>
  <c r="K36" i="3"/>
  <c r="R42" i="3"/>
  <c r="S42" i="3" s="1"/>
  <c r="S51" i="3"/>
  <c r="E55" i="3"/>
  <c r="S10" i="2" s="1"/>
  <c r="R45" i="3"/>
  <c r="S45" i="3" s="1"/>
  <c r="R41" i="3"/>
  <c r="S54" i="3"/>
  <c r="R43" i="3"/>
  <c r="S43" i="3" s="1"/>
  <c r="E54" i="3"/>
  <c r="R10" i="2" s="1"/>
  <c r="E51" i="3"/>
  <c r="E53" i="3"/>
  <c r="Q10" i="2" s="1"/>
  <c r="R44" i="3"/>
  <c r="S44" i="3" s="1"/>
  <c r="L47" i="5"/>
  <c r="K49" i="9"/>
  <c r="K51" i="9"/>
  <c r="L33" i="6"/>
  <c r="L36" i="6" s="1"/>
  <c r="L17" i="6"/>
  <c r="J37" i="4"/>
  <c r="J40" i="4"/>
  <c r="J41" i="4" s="1"/>
  <c r="E53" i="9"/>
  <c r="Q16" i="2" s="1"/>
  <c r="R44" i="9"/>
  <c r="S44" i="9" s="1"/>
  <c r="S54" i="9"/>
  <c r="R43" i="9"/>
  <c r="S43" i="9" s="1"/>
  <c r="E54" i="9"/>
  <c r="R16" i="2" s="1"/>
  <c r="S53" i="9"/>
  <c r="R45" i="9"/>
  <c r="S45" i="9" s="1"/>
  <c r="S55" i="9"/>
  <c r="S52" i="9"/>
  <c r="S51" i="9"/>
  <c r="R42" i="9"/>
  <c r="S42" i="9" s="1"/>
  <c r="R41" i="9"/>
  <c r="E55" i="9"/>
  <c r="S16" i="2" s="1"/>
  <c r="E51" i="9"/>
  <c r="J33" i="3"/>
  <c r="J36" i="3" s="1"/>
  <c r="J17" i="3"/>
  <c r="K33" i="4"/>
  <c r="K36" i="4" s="1"/>
  <c r="K17" i="4"/>
  <c r="L33" i="4"/>
  <c r="L36" i="4" s="1"/>
  <c r="L17" i="4"/>
  <c r="J28" i="6"/>
  <c r="J30" i="6" s="1"/>
  <c r="J31" i="6" s="1"/>
  <c r="J15" i="6"/>
  <c r="K40" i="5"/>
  <c r="K41" i="5" s="1"/>
  <c r="K37" i="5"/>
  <c r="L49" i="8"/>
  <c r="L51" i="8"/>
  <c r="J40" i="9"/>
  <c r="J41" i="9" s="1"/>
  <c r="J37" i="9"/>
  <c r="M34" i="3"/>
  <c r="S41" i="4"/>
  <c r="S55" i="3"/>
  <c r="M44" i="4"/>
  <c r="M47" i="4" s="1"/>
  <c r="J47" i="4"/>
  <c r="R42" i="11"/>
  <c r="S42" i="11" s="1"/>
  <c r="R43" i="11"/>
  <c r="S43" i="11" s="1"/>
  <c r="E54" i="11"/>
  <c r="R18" i="2" s="1"/>
  <c r="E51" i="11"/>
  <c r="R44" i="11"/>
  <c r="S44" i="11" s="1"/>
  <c r="E55" i="11"/>
  <c r="S18" i="2" s="1"/>
  <c r="R41" i="11"/>
  <c r="S54" i="11"/>
  <c r="S53" i="11"/>
  <c r="R45" i="11"/>
  <c r="S45" i="11" s="1"/>
  <c r="S55" i="11"/>
  <c r="E53" i="11"/>
  <c r="Q18" i="2" s="1"/>
  <c r="S52" i="11"/>
  <c r="S51" i="11"/>
  <c r="S56" i="11" s="1"/>
  <c r="S35" i="11" s="1"/>
  <c r="M47" i="5"/>
  <c r="M28" i="9"/>
  <c r="M30" i="9" s="1"/>
  <c r="M31" i="9" s="1"/>
  <c r="M15" i="9"/>
  <c r="S52" i="3"/>
  <c r="E54" i="6"/>
  <c r="R13" i="2" s="1"/>
  <c r="E51" i="6"/>
  <c r="S51" i="6"/>
  <c r="S55" i="6"/>
  <c r="E53" i="6"/>
  <c r="Q13" i="2" s="1"/>
  <c r="R43" i="6"/>
  <c r="S43" i="6" s="1"/>
  <c r="S52" i="6"/>
  <c r="R44" i="6"/>
  <c r="S44" i="6" s="1"/>
  <c r="E55" i="6"/>
  <c r="S13" i="2" s="1"/>
  <c r="R42" i="6"/>
  <c r="S42" i="6" s="1"/>
  <c r="S54" i="6"/>
  <c r="R41" i="6"/>
  <c r="S53" i="6"/>
  <c r="R45" i="6"/>
  <c r="S45" i="6" s="1"/>
  <c r="R43" i="4"/>
  <c r="S43" i="4" s="1"/>
  <c r="E41" i="7"/>
  <c r="M12" i="7"/>
  <c r="E41" i="9"/>
  <c r="R45" i="4"/>
  <c r="S45" i="4" s="1"/>
  <c r="K22" i="9"/>
  <c r="J47" i="10"/>
  <c r="S51" i="4"/>
  <c r="M45" i="8"/>
  <c r="M57" i="9"/>
  <c r="J40" i="10"/>
  <c r="J41" i="10" s="1"/>
  <c r="J47" i="3"/>
  <c r="E53" i="4"/>
  <c r="Q11" i="2" s="1"/>
  <c r="S55" i="4"/>
  <c r="M44" i="6"/>
  <c r="M47" i="6" s="1"/>
  <c r="S55" i="8"/>
  <c r="E55" i="8"/>
  <c r="S15" i="2" s="1"/>
  <c r="R45" i="8"/>
  <c r="S45" i="8" s="1"/>
  <c r="R41" i="8"/>
  <c r="S54" i="8"/>
  <c r="J40" i="8"/>
  <c r="J41" i="8" s="1"/>
  <c r="M44" i="9"/>
  <c r="S52" i="10"/>
  <c r="S54" i="10"/>
  <c r="R43" i="10"/>
  <c r="S43" i="10" s="1"/>
  <c r="S53" i="10"/>
  <c r="M39" i="4"/>
  <c r="R45" i="5"/>
  <c r="S45" i="5" s="1"/>
  <c r="M55" i="7"/>
  <c r="K33" i="8"/>
  <c r="K36" i="8" s="1"/>
  <c r="S53" i="8"/>
  <c r="K25" i="9"/>
  <c r="R45" i="10"/>
  <c r="S45" i="10" s="1"/>
  <c r="E54" i="10"/>
  <c r="R17" i="2" s="1"/>
  <c r="L17" i="11"/>
  <c r="L17" i="12"/>
  <c r="M44" i="12"/>
  <c r="M47" i="12" s="1"/>
  <c r="J47" i="12"/>
  <c r="K17" i="3"/>
  <c r="J17" i="4"/>
  <c r="R42" i="4"/>
  <c r="S42" i="4" s="1"/>
  <c r="R44" i="4"/>
  <c r="S44" i="4" s="1"/>
  <c r="S53" i="4"/>
  <c r="M15" i="5"/>
  <c r="R41" i="5"/>
  <c r="S51" i="5"/>
  <c r="L40" i="8"/>
  <c r="L41" i="8" s="1"/>
  <c r="E54" i="8"/>
  <c r="R15" i="2" s="1"/>
  <c r="M55" i="9"/>
  <c r="M28" i="10"/>
  <c r="M30" i="10" s="1"/>
  <c r="M31" i="10" s="1"/>
  <c r="M17" i="11"/>
  <c r="E54" i="4"/>
  <c r="R11" i="2" s="1"/>
  <c r="J15" i="7"/>
  <c r="R43" i="8"/>
  <c r="S43" i="8" s="1"/>
  <c r="M45" i="9"/>
  <c r="M44" i="10"/>
  <c r="M47" i="10" s="1"/>
  <c r="J33" i="11"/>
  <c r="J36" i="11" s="1"/>
  <c r="J15" i="12"/>
  <c r="J28" i="12"/>
  <c r="J30" i="12" s="1"/>
  <c r="J31" i="12" s="1"/>
  <c r="L40" i="12"/>
  <c r="L41" i="12" s="1"/>
  <c r="E51" i="4"/>
  <c r="K15" i="7"/>
  <c r="M57" i="7"/>
  <c r="M15" i="8"/>
  <c r="K15" i="10"/>
  <c r="K33" i="11"/>
  <c r="K36" i="11" s="1"/>
  <c r="K17" i="5"/>
  <c r="E53" i="5"/>
  <c r="Q12" i="2" s="1"/>
  <c r="L15" i="10"/>
  <c r="R41" i="10"/>
  <c r="E51" i="10"/>
  <c r="M44" i="11"/>
  <c r="M47" i="11" s="1"/>
  <c r="M12" i="4"/>
  <c r="S54" i="4"/>
  <c r="L17" i="5"/>
  <c r="R44" i="5"/>
  <c r="S44" i="5" s="1"/>
  <c r="S55" i="5"/>
  <c r="K15" i="6"/>
  <c r="J17" i="8"/>
  <c r="L21" i="9"/>
  <c r="L33" i="9"/>
  <c r="L36" i="9" s="1"/>
  <c r="R44" i="10"/>
  <c r="S44" i="10" s="1"/>
  <c r="J21" i="11"/>
  <c r="M15" i="12"/>
  <c r="E55" i="4"/>
  <c r="S11" i="2" s="1"/>
  <c r="S53" i="5"/>
  <c r="M44" i="8"/>
  <c r="M47" i="8" s="1"/>
  <c r="K21" i="11"/>
  <c r="M34" i="11"/>
  <c r="R41" i="7"/>
  <c r="R45" i="7"/>
  <c r="S45" i="7" s="1"/>
  <c r="E55" i="7"/>
  <c r="S14" i="2" s="1"/>
  <c r="S53" i="12"/>
  <c r="E51" i="12"/>
  <c r="E54" i="12"/>
  <c r="R19" i="2" s="1"/>
  <c r="R41" i="12"/>
  <c r="R45" i="12"/>
  <c r="S45" i="12" s="1"/>
  <c r="E55" i="12"/>
  <c r="S19" i="2" s="1"/>
  <c r="S51" i="12"/>
  <c r="S52" i="12"/>
  <c r="K40" i="9" l="1"/>
  <c r="K41" i="9" s="1"/>
  <c r="K37" i="9"/>
  <c r="S56" i="10"/>
  <c r="S35" i="10" s="1"/>
  <c r="J21" i="9"/>
  <c r="J22" i="9"/>
  <c r="K17" i="12"/>
  <c r="K33" i="12"/>
  <c r="K36" i="12" s="1"/>
  <c r="L33" i="7"/>
  <c r="L36" i="7" s="1"/>
  <c r="L17" i="7"/>
  <c r="J21" i="10"/>
  <c r="J22" i="10"/>
  <c r="L40" i="11"/>
  <c r="L41" i="11" s="1"/>
  <c r="M28" i="6"/>
  <c r="M30" i="6" s="1"/>
  <c r="M31" i="6" s="1"/>
  <c r="J17" i="5"/>
  <c r="M17" i="10"/>
  <c r="S56" i="7"/>
  <c r="S35" i="7" s="1"/>
  <c r="S56" i="9"/>
  <c r="S35" i="9" s="1"/>
  <c r="M28" i="3"/>
  <c r="M30" i="3" s="1"/>
  <c r="M31" i="3" s="1"/>
  <c r="M15" i="3"/>
  <c r="K17" i="10"/>
  <c r="K33" i="10"/>
  <c r="K36" i="10" s="1"/>
  <c r="S56" i="12"/>
  <c r="S35" i="12" s="1"/>
  <c r="L22" i="5"/>
  <c r="L21" i="5"/>
  <c r="J33" i="7"/>
  <c r="J36" i="7" s="1"/>
  <c r="J17" i="7"/>
  <c r="M33" i="5"/>
  <c r="M36" i="5" s="1"/>
  <c r="M17" i="5"/>
  <c r="S56" i="6"/>
  <c r="S35" i="6" s="1"/>
  <c r="L40" i="4"/>
  <c r="L41" i="4" s="1"/>
  <c r="L37" i="4"/>
  <c r="S56" i="8"/>
  <c r="S35" i="8" s="1"/>
  <c r="S41" i="8"/>
  <c r="S46" i="8" s="1"/>
  <c r="S33" i="8" s="1"/>
  <c r="R46" i="8"/>
  <c r="S32" i="8" s="1"/>
  <c r="S56" i="4"/>
  <c r="S35" i="4" s="1"/>
  <c r="K22" i="4"/>
  <c r="K21" i="4"/>
  <c r="R21" i="2"/>
  <c r="R24" i="2"/>
  <c r="R22" i="2"/>
  <c r="R25" i="2"/>
  <c r="K33" i="7"/>
  <c r="K36" i="7" s="1"/>
  <c r="K17" i="7"/>
  <c r="M28" i="4"/>
  <c r="M30" i="4" s="1"/>
  <c r="M31" i="4" s="1"/>
  <c r="M15" i="4"/>
  <c r="K37" i="8"/>
  <c r="K40" i="8"/>
  <c r="K41" i="8" s="1"/>
  <c r="S41" i="6"/>
  <c r="S46" i="6" s="1"/>
  <c r="S33" i="6" s="1"/>
  <c r="R46" i="6"/>
  <c r="S32" i="6" s="1"/>
  <c r="S34" i="6" s="1"/>
  <c r="S36" i="6" s="1"/>
  <c r="E29" i="6" s="1"/>
  <c r="E30" i="6" s="1"/>
  <c r="K40" i="4"/>
  <c r="K41" i="4" s="1"/>
  <c r="K37" i="4"/>
  <c r="S41" i="3"/>
  <c r="S46" i="3" s="1"/>
  <c r="S33" i="3" s="1"/>
  <c r="R46" i="3"/>
  <c r="S32" i="3" s="1"/>
  <c r="S34" i="3" s="1"/>
  <c r="M37" i="10"/>
  <c r="M40" i="10"/>
  <c r="E45" i="10"/>
  <c r="S41" i="7"/>
  <c r="S46" i="7" s="1"/>
  <c r="S33" i="7" s="1"/>
  <c r="R46" i="7"/>
  <c r="S32" i="7" s="1"/>
  <c r="S34" i="7" s="1"/>
  <c r="S36" i="7" s="1"/>
  <c r="E29" i="7" s="1"/>
  <c r="E30" i="7" s="1"/>
  <c r="M37" i="11"/>
  <c r="M40" i="11"/>
  <c r="E45" i="11"/>
  <c r="L22" i="4"/>
  <c r="L21" i="4"/>
  <c r="M22" i="11"/>
  <c r="M21" i="11"/>
  <c r="M43" i="11" s="1"/>
  <c r="M48" i="11" s="1"/>
  <c r="M17" i="6"/>
  <c r="M33" i="6"/>
  <c r="M36" i="6" s="1"/>
  <c r="L21" i="6"/>
  <c r="L22" i="6"/>
  <c r="L22" i="11"/>
  <c r="L21" i="11"/>
  <c r="R46" i="9"/>
  <c r="S32" i="9" s="1"/>
  <c r="S41" i="9"/>
  <c r="S46" i="9" s="1"/>
  <c r="S33" i="9" s="1"/>
  <c r="M17" i="8"/>
  <c r="M33" i="8"/>
  <c r="M36" i="8" s="1"/>
  <c r="M17" i="12"/>
  <c r="M33" i="12"/>
  <c r="M36" i="12" s="1"/>
  <c r="J21" i="4"/>
  <c r="J22" i="4"/>
  <c r="S46" i="4"/>
  <c r="S33" i="4" s="1"/>
  <c r="J17" i="6"/>
  <c r="J33" i="6"/>
  <c r="J36" i="6" s="1"/>
  <c r="J22" i="3"/>
  <c r="J21" i="3"/>
  <c r="L37" i="6"/>
  <c r="L40" i="6"/>
  <c r="L41" i="6" s="1"/>
  <c r="S24" i="2"/>
  <c r="S25" i="2"/>
  <c r="S22" i="2"/>
  <c r="S21" i="2"/>
  <c r="K37" i="11"/>
  <c r="K40" i="11"/>
  <c r="K41" i="11" s="1"/>
  <c r="Q25" i="2"/>
  <c r="Q22" i="2"/>
  <c r="Q21" i="2"/>
  <c r="Q24" i="2"/>
  <c r="R46" i="10"/>
  <c r="S32" i="10" s="1"/>
  <c r="S41" i="10"/>
  <c r="S46" i="10" s="1"/>
  <c r="S33" i="10" s="1"/>
  <c r="R46" i="4"/>
  <c r="S32" i="4" s="1"/>
  <c r="J40" i="3"/>
  <c r="J41" i="3" s="1"/>
  <c r="J37" i="3"/>
  <c r="L22" i="3"/>
  <c r="L21" i="3"/>
  <c r="M47" i="9"/>
  <c r="K40" i="3"/>
  <c r="K41" i="3" s="1"/>
  <c r="K37" i="3"/>
  <c r="R46" i="5"/>
  <c r="S32" i="5" s="1"/>
  <c r="S41" i="5"/>
  <c r="S46" i="5" s="1"/>
  <c r="S33" i="5" s="1"/>
  <c r="J25" i="11"/>
  <c r="J43" i="11"/>
  <c r="J48" i="11" s="1"/>
  <c r="J33" i="12"/>
  <c r="J36" i="12" s="1"/>
  <c r="J17" i="12"/>
  <c r="K22" i="3"/>
  <c r="K21" i="3"/>
  <c r="L40" i="9"/>
  <c r="L41" i="9" s="1"/>
  <c r="L37" i="9"/>
  <c r="L33" i="10"/>
  <c r="L36" i="10" s="1"/>
  <c r="L17" i="10"/>
  <c r="J40" i="11"/>
  <c r="J41" i="11" s="1"/>
  <c r="J37" i="11"/>
  <c r="M33" i="9"/>
  <c r="M36" i="9" s="1"/>
  <c r="M17" i="9"/>
  <c r="R46" i="11"/>
  <c r="S32" i="11" s="1"/>
  <c r="S41" i="11"/>
  <c r="S46" i="11" s="1"/>
  <c r="S33" i="11" s="1"/>
  <c r="S56" i="3"/>
  <c r="S35" i="3" s="1"/>
  <c r="L37" i="3"/>
  <c r="L40" i="3"/>
  <c r="L41" i="3" s="1"/>
  <c r="K33" i="6"/>
  <c r="K36" i="6" s="1"/>
  <c r="K17" i="6"/>
  <c r="S56" i="5"/>
  <c r="S35" i="5" s="1"/>
  <c r="M15" i="7"/>
  <c r="M28" i="7"/>
  <c r="M30" i="7" s="1"/>
  <c r="M31" i="7" s="1"/>
  <c r="J22" i="5"/>
  <c r="J21" i="5"/>
  <c r="K43" i="8"/>
  <c r="K48" i="8" s="1"/>
  <c r="K25" i="8"/>
  <c r="K25" i="11"/>
  <c r="K43" i="11"/>
  <c r="K48" i="11" s="1"/>
  <c r="S41" i="12"/>
  <c r="S46" i="12" s="1"/>
  <c r="S33" i="12" s="1"/>
  <c r="R46" i="12"/>
  <c r="S32" i="12" s="1"/>
  <c r="S34" i="12" s="1"/>
  <c r="S36" i="12" s="1"/>
  <c r="E29" i="12" s="1"/>
  <c r="E30" i="12" s="1"/>
  <c r="L43" i="9"/>
  <c r="L48" i="9" s="1"/>
  <c r="L25" i="9"/>
  <c r="J22" i="8"/>
  <c r="J21" i="8"/>
  <c r="K22" i="5"/>
  <c r="K21" i="5"/>
  <c r="L22" i="12"/>
  <c r="L21" i="12"/>
  <c r="J40" i="5"/>
  <c r="J41" i="5" s="1"/>
  <c r="J37" i="5"/>
  <c r="L22" i="7" l="1"/>
  <c r="L21" i="7"/>
  <c r="M33" i="3"/>
  <c r="M36" i="3" s="1"/>
  <c r="M17" i="3"/>
  <c r="L40" i="7"/>
  <c r="L41" i="7" s="1"/>
  <c r="L37" i="7"/>
  <c r="K40" i="12"/>
  <c r="K41" i="12" s="1"/>
  <c r="K37" i="12"/>
  <c r="K22" i="12"/>
  <c r="K21" i="12"/>
  <c r="J43" i="10"/>
  <c r="J48" i="10" s="1"/>
  <c r="J25" i="10"/>
  <c r="M21" i="10"/>
  <c r="M43" i="10" s="1"/>
  <c r="M48" i="10" s="1"/>
  <c r="M22" i="10"/>
  <c r="J43" i="9"/>
  <c r="J48" i="9" s="1"/>
  <c r="J25" i="9"/>
  <c r="M25" i="9" s="1"/>
  <c r="S34" i="8"/>
  <c r="S36" i="8" s="1"/>
  <c r="E29" i="8" s="1"/>
  <c r="E30" i="8" s="1"/>
  <c r="E37" i="8" s="1"/>
  <c r="L37" i="10"/>
  <c r="L40" i="10"/>
  <c r="L41" i="10" s="1"/>
  <c r="M41" i="11"/>
  <c r="M18" i="2" s="1"/>
  <c r="E43" i="11"/>
  <c r="L25" i="12"/>
  <c r="L43" i="12"/>
  <c r="L48" i="12" s="1"/>
  <c r="E37" i="7"/>
  <c r="G14" i="2"/>
  <c r="F9" i="1"/>
  <c r="K25" i="4"/>
  <c r="K43" i="4"/>
  <c r="K48" i="4" s="1"/>
  <c r="J40" i="7"/>
  <c r="J41" i="7" s="1"/>
  <c r="J37" i="7"/>
  <c r="K51" i="8"/>
  <c r="K49" i="8"/>
  <c r="M37" i="12"/>
  <c r="E45" i="12"/>
  <c r="M40" i="12"/>
  <c r="M40" i="6"/>
  <c r="E45" i="6"/>
  <c r="M37" i="6"/>
  <c r="M33" i="4"/>
  <c r="M36" i="4" s="1"/>
  <c r="M17" i="4"/>
  <c r="L25" i="5"/>
  <c r="L43" i="5"/>
  <c r="L48" i="5" s="1"/>
  <c r="J22" i="6"/>
  <c r="J21" i="6"/>
  <c r="M21" i="5"/>
  <c r="M43" i="5" s="1"/>
  <c r="M48" i="5" s="1"/>
  <c r="M22" i="5"/>
  <c r="K40" i="6"/>
  <c r="K41" i="6" s="1"/>
  <c r="K37" i="6"/>
  <c r="J22" i="7"/>
  <c r="J21" i="7"/>
  <c r="J21" i="12"/>
  <c r="J22" i="12"/>
  <c r="M21" i="12"/>
  <c r="M43" i="12" s="1"/>
  <c r="M48" i="12" s="1"/>
  <c r="M22" i="12"/>
  <c r="M21" i="6"/>
  <c r="M43" i="6" s="1"/>
  <c r="M48" i="6" s="1"/>
  <c r="M22" i="6"/>
  <c r="L43" i="11"/>
  <c r="L48" i="11" s="1"/>
  <c r="L25" i="11"/>
  <c r="M25" i="11" s="1"/>
  <c r="J43" i="8"/>
  <c r="J48" i="8" s="1"/>
  <c r="J25" i="8"/>
  <c r="M25" i="8" s="1"/>
  <c r="J40" i="12"/>
  <c r="J41" i="12" s="1"/>
  <c r="J37" i="12"/>
  <c r="M40" i="8"/>
  <c r="M37" i="8"/>
  <c r="E45" i="8"/>
  <c r="M51" i="11"/>
  <c r="M49" i="11"/>
  <c r="M41" i="10"/>
  <c r="M17" i="2" s="1"/>
  <c r="E43" i="10"/>
  <c r="K22" i="7"/>
  <c r="K21" i="7"/>
  <c r="F10" i="1"/>
  <c r="G15" i="2"/>
  <c r="E37" i="6"/>
  <c r="F8" i="1"/>
  <c r="G13" i="2"/>
  <c r="M37" i="5"/>
  <c r="E45" i="5"/>
  <c r="M40" i="5"/>
  <c r="M21" i="9"/>
  <c r="M43" i="9" s="1"/>
  <c r="M48" i="9" s="1"/>
  <c r="M22" i="9"/>
  <c r="K37" i="7"/>
  <c r="K40" i="7"/>
  <c r="K41" i="7" s="1"/>
  <c r="K40" i="10"/>
  <c r="K41" i="10" s="1"/>
  <c r="K37" i="10"/>
  <c r="L43" i="6"/>
  <c r="L48" i="6" s="1"/>
  <c r="L25" i="6"/>
  <c r="J43" i="5"/>
  <c r="J48" i="5" s="1"/>
  <c r="J25" i="5"/>
  <c r="S34" i="4"/>
  <c r="S36" i="4" s="1"/>
  <c r="E29" i="4" s="1"/>
  <c r="E30" i="4" s="1"/>
  <c r="L25" i="4"/>
  <c r="L43" i="4"/>
  <c r="L48" i="4" s="1"/>
  <c r="S36" i="3"/>
  <c r="E29" i="3" s="1"/>
  <c r="E30" i="3" s="1"/>
  <c r="K22" i="10"/>
  <c r="K21" i="10"/>
  <c r="K51" i="11"/>
  <c r="K49" i="11"/>
  <c r="K25" i="3"/>
  <c r="K43" i="3"/>
  <c r="K48" i="3" s="1"/>
  <c r="S34" i="11"/>
  <c r="S36" i="11" s="1"/>
  <c r="E29" i="11" s="1"/>
  <c r="E30" i="11" s="1"/>
  <c r="J51" i="11"/>
  <c r="J49" i="11"/>
  <c r="M21" i="8"/>
  <c r="M43" i="8" s="1"/>
  <c r="M48" i="8" s="1"/>
  <c r="M22" i="8"/>
  <c r="J25" i="3"/>
  <c r="J43" i="3"/>
  <c r="J48" i="3" s="1"/>
  <c r="M17" i="7"/>
  <c r="M33" i="7"/>
  <c r="M36" i="7" s="1"/>
  <c r="M40" i="9"/>
  <c r="E45" i="9"/>
  <c r="M37" i="9"/>
  <c r="S34" i="10"/>
  <c r="S36" i="10" s="1"/>
  <c r="E29" i="10" s="1"/>
  <c r="E30" i="10" s="1"/>
  <c r="L51" i="9"/>
  <c r="L49" i="9"/>
  <c r="S34" i="5"/>
  <c r="S36" i="5" s="1"/>
  <c r="E29" i="5" s="1"/>
  <c r="E30" i="5" s="1"/>
  <c r="K21" i="6"/>
  <c r="K22" i="6"/>
  <c r="L43" i="3"/>
  <c r="L48" i="3" s="1"/>
  <c r="L25" i="3"/>
  <c r="M51" i="10"/>
  <c r="M49" i="10"/>
  <c r="J25" i="4"/>
  <c r="J43" i="4"/>
  <c r="J48" i="4" s="1"/>
  <c r="K25" i="5"/>
  <c r="K43" i="5"/>
  <c r="K48" i="5" s="1"/>
  <c r="E37" i="12"/>
  <c r="G19" i="2"/>
  <c r="F14" i="1"/>
  <c r="L22" i="10"/>
  <c r="L21" i="10"/>
  <c r="J40" i="6"/>
  <c r="J41" i="6" s="1"/>
  <c r="J37" i="6"/>
  <c r="S34" i="9"/>
  <c r="S36" i="9" s="1"/>
  <c r="E29" i="9" s="1"/>
  <c r="E30" i="9" s="1"/>
  <c r="K43" i="12" l="1"/>
  <c r="K48" i="12" s="1"/>
  <c r="K25" i="12"/>
  <c r="M21" i="3"/>
  <c r="M43" i="3" s="1"/>
  <c r="M48" i="3" s="1"/>
  <c r="M22" i="3"/>
  <c r="J51" i="9"/>
  <c r="J49" i="9"/>
  <c r="E45" i="3"/>
  <c r="M40" i="3"/>
  <c r="M37" i="3"/>
  <c r="L43" i="7"/>
  <c r="L48" i="7" s="1"/>
  <c r="L25" i="7"/>
  <c r="J49" i="10"/>
  <c r="J51" i="10"/>
  <c r="E45" i="7"/>
  <c r="M40" i="7"/>
  <c r="M37" i="7"/>
  <c r="J43" i="7"/>
  <c r="J48" i="7" s="1"/>
  <c r="J25" i="7"/>
  <c r="M22" i="4"/>
  <c r="M21" i="4"/>
  <c r="M43" i="4" s="1"/>
  <c r="M48" i="4" s="1"/>
  <c r="E43" i="9"/>
  <c r="M41" i="9"/>
  <c r="M16" i="2" s="1"/>
  <c r="J25" i="12"/>
  <c r="M25" i="12" s="1"/>
  <c r="J43" i="12"/>
  <c r="J48" i="12" s="1"/>
  <c r="E44" i="8"/>
  <c r="K15" i="2" s="1"/>
  <c r="E40" i="8"/>
  <c r="I15" i="2" s="1"/>
  <c r="E42" i="8"/>
  <c r="J15" i="2" s="1"/>
  <c r="G10" i="1"/>
  <c r="H15" i="2"/>
  <c r="M41" i="8"/>
  <c r="M15" i="2" s="1"/>
  <c r="E43" i="8"/>
  <c r="E43" i="6"/>
  <c r="M41" i="6"/>
  <c r="M13" i="2" s="1"/>
  <c r="E44" i="7"/>
  <c r="K14" i="2" s="1"/>
  <c r="E40" i="7"/>
  <c r="I14" i="2" s="1"/>
  <c r="E42" i="7"/>
  <c r="J14" i="2" s="1"/>
  <c r="H14" i="2"/>
  <c r="G9" i="1"/>
  <c r="M51" i="12"/>
  <c r="M49" i="12"/>
  <c r="E42" i="6"/>
  <c r="J13" i="2" s="1"/>
  <c r="E40" i="6"/>
  <c r="I13" i="2" s="1"/>
  <c r="E44" i="6"/>
  <c r="K13" i="2" s="1"/>
  <c r="H13" i="2"/>
  <c r="G8" i="1"/>
  <c r="M25" i="3"/>
  <c r="J51" i="8"/>
  <c r="J49" i="8"/>
  <c r="M41" i="12"/>
  <c r="M19" i="2" s="1"/>
  <c r="E43" i="12"/>
  <c r="L51" i="12"/>
  <c r="L49" i="12"/>
  <c r="K51" i="3"/>
  <c r="K49" i="3"/>
  <c r="L51" i="3"/>
  <c r="L49" i="3"/>
  <c r="M21" i="7"/>
  <c r="M43" i="7" s="1"/>
  <c r="M48" i="7" s="1"/>
  <c r="M22" i="7"/>
  <c r="E37" i="3"/>
  <c r="F5" i="1"/>
  <c r="G10" i="2"/>
  <c r="L51" i="4"/>
  <c r="L49" i="4"/>
  <c r="L51" i="6"/>
  <c r="L49" i="6"/>
  <c r="J51" i="3"/>
  <c r="J49" i="3"/>
  <c r="E37" i="9"/>
  <c r="F11" i="1"/>
  <c r="G16" i="2"/>
  <c r="J49" i="4"/>
  <c r="J51" i="4"/>
  <c r="M51" i="9"/>
  <c r="M49" i="9"/>
  <c r="L51" i="11"/>
  <c r="L49" i="11"/>
  <c r="M49" i="5"/>
  <c r="M51" i="5"/>
  <c r="M40" i="4"/>
  <c r="E45" i="4"/>
  <c r="M37" i="4"/>
  <c r="E42" i="12"/>
  <c r="J19" i="2" s="1"/>
  <c r="E40" i="12"/>
  <c r="I19" i="2" s="1"/>
  <c r="E44" i="12"/>
  <c r="K19" i="2" s="1"/>
  <c r="H19" i="2"/>
  <c r="G14" i="1"/>
  <c r="F7" i="1"/>
  <c r="E37" i="5"/>
  <c r="G12" i="2"/>
  <c r="M25" i="4"/>
  <c r="E43" i="5"/>
  <c r="M41" i="5"/>
  <c r="M12" i="2" s="1"/>
  <c r="J25" i="6"/>
  <c r="J43" i="6"/>
  <c r="J48" i="6" s="1"/>
  <c r="K43" i="10"/>
  <c r="K48" i="10" s="1"/>
  <c r="K25" i="10"/>
  <c r="K43" i="6"/>
  <c r="K48" i="6" s="1"/>
  <c r="K25" i="6"/>
  <c r="M51" i="8"/>
  <c r="M49" i="8"/>
  <c r="E37" i="4"/>
  <c r="F6" i="1"/>
  <c r="G11" i="2"/>
  <c r="M51" i="6"/>
  <c r="M49" i="6"/>
  <c r="J49" i="5"/>
  <c r="J51" i="5"/>
  <c r="K51" i="4"/>
  <c r="K49" i="4"/>
  <c r="K49" i="5"/>
  <c r="K51" i="5"/>
  <c r="K43" i="7"/>
  <c r="K48" i="7" s="1"/>
  <c r="K25" i="7"/>
  <c r="L25" i="10"/>
  <c r="L43" i="10"/>
  <c r="L48" i="10" s="1"/>
  <c r="E47" i="10"/>
  <c r="E46" i="10"/>
  <c r="O17" i="2" s="1"/>
  <c r="E37" i="10"/>
  <c r="G17" i="2"/>
  <c r="F12" i="1"/>
  <c r="F13" i="1"/>
  <c r="E37" i="11"/>
  <c r="G18" i="2"/>
  <c r="M25" i="5"/>
  <c r="E47" i="11"/>
  <c r="E46" i="11"/>
  <c r="O18" i="2" s="1"/>
  <c r="L49" i="5"/>
  <c r="L51" i="5"/>
  <c r="L49" i="7" l="1"/>
  <c r="L51" i="7"/>
  <c r="E43" i="3"/>
  <c r="M41" i="3"/>
  <c r="M10" i="2" s="1"/>
  <c r="M51" i="3"/>
  <c r="M49" i="3"/>
  <c r="K51" i="12"/>
  <c r="K49" i="12"/>
  <c r="M49" i="7"/>
  <c r="M51" i="7"/>
  <c r="K49" i="7"/>
  <c r="K51" i="7"/>
  <c r="J49" i="12"/>
  <c r="J51" i="12"/>
  <c r="E43" i="4"/>
  <c r="M41" i="4"/>
  <c r="M11" i="2" s="1"/>
  <c r="E40" i="9"/>
  <c r="I16" i="2" s="1"/>
  <c r="E42" i="9"/>
  <c r="J16" i="2" s="1"/>
  <c r="E44" i="9"/>
  <c r="K16" i="2" s="1"/>
  <c r="G11" i="1"/>
  <c r="H16" i="2"/>
  <c r="M49" i="4"/>
  <c r="M51" i="4"/>
  <c r="E42" i="11"/>
  <c r="J18" i="2" s="1"/>
  <c r="E44" i="11"/>
  <c r="K18" i="2" s="1"/>
  <c r="E40" i="11"/>
  <c r="I18" i="2" s="1"/>
  <c r="G13" i="1"/>
  <c r="H18" i="2"/>
  <c r="K51" i="10"/>
  <c r="K49" i="10"/>
  <c r="E40" i="4"/>
  <c r="I11" i="2" s="1"/>
  <c r="E42" i="4"/>
  <c r="J11" i="2" s="1"/>
  <c r="E44" i="4"/>
  <c r="K11" i="2" s="1"/>
  <c r="H11" i="2"/>
  <c r="G6" i="1"/>
  <c r="E47" i="8"/>
  <c r="E46" i="8"/>
  <c r="O15" i="2" s="1"/>
  <c r="M25" i="7"/>
  <c r="E40" i="5"/>
  <c r="I12" i="2" s="1"/>
  <c r="E42" i="5"/>
  <c r="J12" i="2" s="1"/>
  <c r="E44" i="5"/>
  <c r="K12" i="2" s="1"/>
  <c r="H12" i="2"/>
  <c r="G7" i="1"/>
  <c r="E47" i="9"/>
  <c r="E46" i="9"/>
  <c r="O16" i="2" s="1"/>
  <c r="J49" i="7"/>
  <c r="J51" i="7"/>
  <c r="E47" i="5"/>
  <c r="E46" i="5"/>
  <c r="O12" i="2" s="1"/>
  <c r="K51" i="6"/>
  <c r="K49" i="6"/>
  <c r="E42" i="10"/>
  <c r="J17" i="2" s="1"/>
  <c r="E44" i="10"/>
  <c r="K17" i="2" s="1"/>
  <c r="E40" i="10"/>
  <c r="I17" i="2" s="1"/>
  <c r="H17" i="2"/>
  <c r="G12" i="1"/>
  <c r="J49" i="6"/>
  <c r="J51" i="6"/>
  <c r="M25" i="6"/>
  <c r="E47" i="6"/>
  <c r="E46" i="6"/>
  <c r="O13" i="2" s="1"/>
  <c r="L51" i="10"/>
  <c r="L49" i="10"/>
  <c r="E42" i="3"/>
  <c r="J10" i="2" s="1"/>
  <c r="E40" i="3"/>
  <c r="I10" i="2" s="1"/>
  <c r="E44" i="3"/>
  <c r="K10" i="2" s="1"/>
  <c r="G5" i="1"/>
  <c r="H10" i="2"/>
  <c r="E46" i="12"/>
  <c r="O19" i="2" s="1"/>
  <c r="E47" i="12"/>
  <c r="E43" i="7"/>
  <c r="M41" i="7"/>
  <c r="M14" i="2" s="1"/>
  <c r="M25" i="10"/>
  <c r="E46" i="3" l="1"/>
  <c r="O10" i="2" s="1"/>
  <c r="E47" i="3"/>
  <c r="M21" i="2"/>
  <c r="M25" i="2"/>
  <c r="M22" i="2"/>
  <c r="M24" i="2"/>
  <c r="J24" i="2"/>
  <c r="J25" i="2"/>
  <c r="J21" i="2"/>
  <c r="J22" i="2"/>
  <c r="E47" i="4"/>
  <c r="E46" i="4"/>
  <c r="O11" i="2" s="1"/>
  <c r="K25" i="2"/>
  <c r="K24" i="2"/>
  <c r="K21" i="2"/>
  <c r="K22" i="2"/>
  <c r="E47" i="7"/>
  <c r="E46" i="7"/>
  <c r="O14" i="2" s="1"/>
  <c r="I24" i="2"/>
  <c r="I25" i="2"/>
  <c r="I21" i="2"/>
  <c r="I22" i="2"/>
  <c r="O21" i="2" l="1"/>
  <c r="O22" i="2"/>
  <c r="O25" i="2"/>
  <c r="O24" i="2"/>
</calcChain>
</file>

<file path=xl/sharedStrings.xml><?xml version="1.0" encoding="utf-8"?>
<sst xmlns="http://schemas.openxmlformats.org/spreadsheetml/2006/main" count="1563" uniqueCount="187">
  <si>
    <t>($ in millions)</t>
  </si>
  <si>
    <t>List of Comparable Acquisitions</t>
  </si>
  <si>
    <t>Date</t>
  </si>
  <si>
    <t>Transaction</t>
  </si>
  <si>
    <t>Equity</t>
  </si>
  <si>
    <t>Enterprise</t>
  </si>
  <si>
    <t xml:space="preserve">LTM </t>
  </si>
  <si>
    <t>Announced</t>
  </si>
  <si>
    <t>Acquirer</t>
  </si>
  <si>
    <t>Target</t>
  </si>
  <si>
    <t>Type</t>
  </si>
  <si>
    <t>Target Business Description</t>
  </si>
  <si>
    <t>Value</t>
  </si>
  <si>
    <t xml:space="preserve"> Sales</t>
  </si>
  <si>
    <t>Binh Minh Plastics (BMP)</t>
  </si>
  <si>
    <t>Precedent Transactions Analysis</t>
  </si>
  <si>
    <t>Enterprise Value /</t>
  </si>
  <si>
    <t>LTM</t>
  </si>
  <si>
    <t>Equity Value /</t>
  </si>
  <si>
    <t>Premiums Paid</t>
  </si>
  <si>
    <t>Purchase</t>
  </si>
  <si>
    <t>EBITDA</t>
  </si>
  <si>
    <t>Days Prior to Unaffected</t>
  </si>
  <si>
    <t>Consideration</t>
  </si>
  <si>
    <t>Sales</t>
  </si>
  <si>
    <t>EBIT</t>
  </si>
  <si>
    <t>Margin</t>
  </si>
  <si>
    <t>Net Income</t>
  </si>
  <si>
    <t>1</t>
  </si>
  <si>
    <t>7</t>
  </si>
  <si>
    <t>30</t>
  </si>
  <si>
    <t>Mean</t>
  </si>
  <si>
    <t>Median</t>
  </si>
  <si>
    <t>High</t>
  </si>
  <si>
    <t>Low</t>
  </si>
  <si>
    <t>Source: Company filings</t>
  </si>
  <si>
    <t>Input Page</t>
  </si>
  <si>
    <t>($ in millions, except per share data)</t>
  </si>
  <si>
    <t>General Information</t>
  </si>
  <si>
    <t>Reported Income Statement</t>
  </si>
  <si>
    <t>Target Description</t>
  </si>
  <si>
    <t>Prior</t>
  </si>
  <si>
    <t xml:space="preserve">Current </t>
  </si>
  <si>
    <t>[to come]</t>
  </si>
  <si>
    <t xml:space="preserve">   Ticker</t>
  </si>
  <si>
    <t>TRGT</t>
  </si>
  <si>
    <t>FYE</t>
  </si>
  <si>
    <t>Stub</t>
  </si>
  <si>
    <t xml:space="preserve">   Fiscal Year Ending</t>
  </si>
  <si>
    <t xml:space="preserve">   Marginal Tax Rate</t>
  </si>
  <si>
    <t>COGS</t>
  </si>
  <si>
    <t xml:space="preserve">   Gross Profit</t>
  </si>
  <si>
    <t>ACQR</t>
  </si>
  <si>
    <t>SG&amp;A</t>
  </si>
  <si>
    <t>Other Expense / (Income)</t>
  </si>
  <si>
    <t>Acquirer Description</t>
  </si>
  <si>
    <t xml:space="preserve">   EBIT</t>
  </si>
  <si>
    <t>Date Announced</t>
  </si>
  <si>
    <t>Interest Expense</t>
  </si>
  <si>
    <t xml:space="preserve">Date Effective </t>
  </si>
  <si>
    <t xml:space="preserve">   Pre-tax Income</t>
  </si>
  <si>
    <t>Transaction Type</t>
  </si>
  <si>
    <t>NA</t>
  </si>
  <si>
    <t>Income Taxes</t>
  </si>
  <si>
    <t>Purchase Consideration</t>
  </si>
  <si>
    <t>Noncontrolling Interest</t>
  </si>
  <si>
    <t>Preferred Dividends</t>
  </si>
  <si>
    <t>Calculation of Equity and Enterprise Value</t>
  </si>
  <si>
    <t xml:space="preserve">   Net Income</t>
  </si>
  <si>
    <t>Offer Price per Share</t>
  </si>
  <si>
    <t xml:space="preserve">   Effective Tax Rate</t>
  </si>
  <si>
    <t>Comments</t>
  </si>
  <si>
    <t>Cash Offer Price per Share</t>
  </si>
  <si>
    <t>Stock Offer Price per Share</t>
  </si>
  <si>
    <t>Weighted Avg. Diluted Shares</t>
  </si>
  <si>
    <t xml:space="preserve">Exchange Ratio </t>
  </si>
  <si>
    <t>Diluted EPS</t>
  </si>
  <si>
    <t xml:space="preserve"> </t>
  </si>
  <si>
    <t xml:space="preserve">   Offer Price per Share</t>
  </si>
  <si>
    <t>Adjusted Income Statement</t>
  </si>
  <si>
    <t>Reported Gross Profit</t>
  </si>
  <si>
    <t>Fully Diluted Shares Outstanding</t>
  </si>
  <si>
    <t>Non-recurring Items in COGS</t>
  </si>
  <si>
    <t xml:space="preserve">   Implied Equity Value</t>
  </si>
  <si>
    <t xml:space="preserve">   Adjusted Gross Profit</t>
  </si>
  <si>
    <t>Calculation of Fully Diluted Shares Outstanding</t>
  </si>
  <si>
    <t xml:space="preserve">   % margin</t>
  </si>
  <si>
    <t>Basic Shares Outstanding</t>
  </si>
  <si>
    <t>Implied Enterprise Value</t>
  </si>
  <si>
    <t>Plus: Shares from In-the-Money Options</t>
  </si>
  <si>
    <t>Plus: Total Debt</t>
  </si>
  <si>
    <t>Reported EBIT</t>
  </si>
  <si>
    <t>Less: Shares Repurchased from Option Proceeds</t>
  </si>
  <si>
    <t>Plus: Preferred Stock</t>
  </si>
  <si>
    <t xml:space="preserve">   Net New Shares from Options</t>
  </si>
  <si>
    <t>Plus: Noncontrolling Interest</t>
  </si>
  <si>
    <t>Other Non-recurring Items</t>
  </si>
  <si>
    <t>Plus: Shares from Convertible Securities</t>
  </si>
  <si>
    <t>Less: Cash and Cash Equivalents</t>
  </si>
  <si>
    <t xml:space="preserve">   Adjusted EBIT</t>
  </si>
  <si>
    <t xml:space="preserve">   Fully Diluted Shares Outstanding</t>
  </si>
  <si>
    <t xml:space="preserve">   Implied Enterprise Value</t>
  </si>
  <si>
    <t>Options/Warrants</t>
  </si>
  <si>
    <t>LTM Transaction Multiples</t>
  </si>
  <si>
    <t>Depreciation &amp; Amortization</t>
  </si>
  <si>
    <t>Number of</t>
  </si>
  <si>
    <t>Exercise</t>
  </si>
  <si>
    <t>In-the-Money</t>
  </si>
  <si>
    <t>EV/Sales</t>
  </si>
  <si>
    <t xml:space="preserve">   Adjusted EBITDA</t>
  </si>
  <si>
    <t>Tranche</t>
  </si>
  <si>
    <t>Shares</t>
  </si>
  <si>
    <t>Price</t>
  </si>
  <si>
    <t>Proceeds</t>
  </si>
  <si>
    <t xml:space="preserve">   Metric</t>
  </si>
  <si>
    <t>Batch 1</t>
  </si>
  <si>
    <t>EV/EBITDA</t>
  </si>
  <si>
    <t>Batch 2</t>
  </si>
  <si>
    <t>Reported Net Income</t>
  </si>
  <si>
    <t>Batch 3</t>
  </si>
  <si>
    <t>EV/EBIT</t>
  </si>
  <si>
    <t>Batch 4</t>
  </si>
  <si>
    <t>Batch 5</t>
  </si>
  <si>
    <t>P/E</t>
  </si>
  <si>
    <t>Non-operating Non-rec. Items</t>
  </si>
  <si>
    <t xml:space="preserve">   Total</t>
  </si>
  <si>
    <t xml:space="preserve">Tax Adjustment </t>
  </si>
  <si>
    <t xml:space="preserve">   Adjusted Net Income</t>
  </si>
  <si>
    <t>Convertible Securities</t>
  </si>
  <si>
    <t xml:space="preserve">Premiums Paid </t>
  </si>
  <si>
    <t>Conversion</t>
  </si>
  <si>
    <t xml:space="preserve">Conversion </t>
  </si>
  <si>
    <t xml:space="preserve">New </t>
  </si>
  <si>
    <t>Transaction Announcement</t>
  </si>
  <si>
    <t>Premium</t>
  </si>
  <si>
    <t>Amount</t>
  </si>
  <si>
    <t>Ratio</t>
  </si>
  <si>
    <t>1 Day Prior</t>
  </si>
  <si>
    <t>Adjusted Diluted EPS</t>
  </si>
  <si>
    <t>Issue 1</t>
  </si>
  <si>
    <t>Unaffected Share Price</t>
  </si>
  <si>
    <t>Issue 2</t>
  </si>
  <si>
    <t>Cash Flow Statement Data</t>
  </si>
  <si>
    <t>Issue 3</t>
  </si>
  <si>
    <t>7 Days Prior</t>
  </si>
  <si>
    <t>Issue 4</t>
  </si>
  <si>
    <t>30 Days Prior</t>
  </si>
  <si>
    <t xml:space="preserve">   % sales</t>
  </si>
  <si>
    <t>Issue 5</t>
  </si>
  <si>
    <t>Capital Expenditures</t>
  </si>
  <si>
    <t>Source Documents</t>
  </si>
  <si>
    <t>Period</t>
  </si>
  <si>
    <t>Date Filed</t>
  </si>
  <si>
    <t>Notes</t>
  </si>
  <si>
    <t>(1)  [to come]</t>
  </si>
  <si>
    <t>(2)  [to come]</t>
  </si>
  <si>
    <t>(3)  [to come]</t>
  </si>
  <si>
    <t>(4)  [to come]</t>
  </si>
  <si>
    <t>(5)  [to come]</t>
  </si>
  <si>
    <t>Target 4</t>
  </si>
  <si>
    <t>T04</t>
  </si>
  <si>
    <t>Acquirer 4</t>
  </si>
  <si>
    <t>A04</t>
  </si>
  <si>
    <t>Target 5</t>
  </si>
  <si>
    <t>T05</t>
  </si>
  <si>
    <t>Acquirer 5</t>
  </si>
  <si>
    <t>A05</t>
  </si>
  <si>
    <t>Target 6</t>
  </si>
  <si>
    <t>T06</t>
  </si>
  <si>
    <t>Acquirer 6</t>
  </si>
  <si>
    <t>A06</t>
  </si>
  <si>
    <t>Target 7</t>
  </si>
  <si>
    <t>T07</t>
  </si>
  <si>
    <t>Acquirer 7</t>
  </si>
  <si>
    <t>A07</t>
  </si>
  <si>
    <t>Target 8</t>
  </si>
  <si>
    <t>T08</t>
  </si>
  <si>
    <t>Acquirer 8</t>
  </si>
  <si>
    <t>A08</t>
  </si>
  <si>
    <t>Target 9</t>
  </si>
  <si>
    <t>T09</t>
  </si>
  <si>
    <t>Acquirer 9</t>
  </si>
  <si>
    <t>A09</t>
  </si>
  <si>
    <t>Target 10</t>
  </si>
  <si>
    <t>T10</t>
  </si>
  <si>
    <t>Acquirer 10</t>
  </si>
  <si>
    <t>A10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</si>
</sst>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* _(&quot;$&quot;#,##0_);* \(&quot;$&quot;#,##0\);* _(&quot;-&quot;?_);_(@_)"/>
    <numFmt numFmtId="165" formatCode="* _(#,##0_);* \(#,##0\);* _(&quot;-&quot;?_);_(@_)"/>
    <numFmt numFmtId="166" formatCode="0.0\x"/>
    <numFmt numFmtId="167" formatCode="0.0%"/>
    <numFmt numFmtId="168" formatCode="&quot;$&quot;#,##0.0_);[Red]\(&quot;$&quot;#,##0.0\)"/>
    <numFmt numFmtId="169" formatCode="0.0"/>
    <numFmt numFmtId="170" formatCode="&quot;$&quot;#,##0_);[Red]\(&quot;$&quot;#,##0\)"/>
    <numFmt numFmtId="171" formatCode="mmm\-dd"/>
    <numFmt numFmtId="172" formatCode="* _(#,##0.0%_);* \(#,##0.0%\);* _(&quot;-&quot;?_);_(@_)"/>
    <numFmt numFmtId="173" formatCode="* _(&quot;$&quot;#,##0.0_);* \(&quot;$&quot;#,##0.0\);* _(&quot;-&quot;?_);_(@_)"/>
    <numFmt numFmtId="174" formatCode="* _(##,##0.0_);* \(##,##0.0\);* _(&quot;-&quot;?_);_(@_)"/>
    <numFmt numFmtId="175" formatCode="* _(##,##0.0_);[Red]* \(##,##0.0\);* _(&quot;-&quot;?_);_(@_)"/>
    <numFmt numFmtId="176" formatCode="* _(&quot;$&quot;#,##0.00_);* \(&quot;$&quot;#,##0.00\);* _(&quot;-&quot;?_);_(@_)"/>
    <numFmt numFmtId="177" formatCode="* _(#,##0.00_);* \(#,##0.00\);* _(&quot;-&quot;?_);_(@_)"/>
    <numFmt numFmtId="178" formatCode="* _(##,##0.000_);* \(##,##0.000\);* _(&quot;-&quot;?_);_(@_)"/>
    <numFmt numFmtId="179" formatCode="* _(##,##0.000_);[Red]* \(##,##0.000\);* _(&quot;-&quot;?_);_(@_)"/>
    <numFmt numFmtId="180" formatCode="_(* #,##0.0_);_(* \(#,##0.0\);_(* &quot;-&quot;?_);_(@_)"/>
    <numFmt numFmtId="181" formatCode="_(&quot;$&quot;* #,##0.00_);_(&quot;$&quot;* \(#,##0.00\);_(&quot;$&quot;* &quot;-&quot;??_);_(@_)"/>
    <numFmt numFmtId="182" formatCode="_(* 0.0\x_);_(* \(0.0\x\);_(* &quot;-&quot;?_);_(@_)"/>
    <numFmt numFmtId="183" formatCode="* _(#,##0.0_);* \(#,##0.0\);* _(&quot;-&quot;?_);_(@_)"/>
    <numFmt numFmtId="184" formatCode="* _(#,##0.0%_);* \(#,##0.0%\);* _(&quot;-&quot;??_);_(@_)"/>
    <numFmt numFmtId="185" formatCode="_(* #,##0.00_);_(* \(#,##0.00\);_(* &quot;-&quot;?_);_(@_)"/>
    <numFmt numFmtId="186" formatCode="_(&quot;$&quot;* #,##0.0_);_(&quot;$&quot;* \(#,##0.0\);_(&quot;$&quot;* &quot;-&quot;?_);_(@_)"/>
  </numFmts>
  <fonts count="65" x14ac:knownFonts="1">
    <font>
      <sz val="10"/>
      <color rgb="FF000000"/>
      <name val="Arial"/>
      <scheme val="minor"/>
    </font>
    <font>
      <i/>
      <sz val="10"/>
      <color theme="1"/>
      <name val="Arial"/>
    </font>
    <font>
      <sz val="10"/>
      <color theme="1"/>
      <name val="Arial"/>
    </font>
    <font>
      <b/>
      <u/>
      <sz val="14"/>
      <color rgb="FFFFFFFF"/>
      <name val="Arial"/>
    </font>
    <font>
      <b/>
      <sz val="8"/>
      <color theme="1"/>
      <name val="Arial"/>
    </font>
    <font>
      <sz val="8"/>
      <color theme="1"/>
      <name val="Arial"/>
    </font>
    <font>
      <b/>
      <u/>
      <sz val="8"/>
      <color theme="1"/>
      <name val="Arial"/>
    </font>
    <font>
      <b/>
      <u/>
      <sz val="8"/>
      <color theme="1"/>
      <name val="Arial"/>
    </font>
    <font>
      <b/>
      <u/>
      <sz val="8"/>
      <color theme="1"/>
      <name val="Arial"/>
    </font>
    <font>
      <b/>
      <sz val="20"/>
      <color rgb="FFFFFFFF"/>
      <name val="Arial"/>
    </font>
    <font>
      <sz val="10"/>
      <color rgb="FFFFFFFF"/>
      <name val="Arial"/>
    </font>
    <font>
      <b/>
      <sz val="16"/>
      <color rgb="FFFFFFFF"/>
      <name val="Arial"/>
    </font>
    <font>
      <b/>
      <sz val="14"/>
      <color rgb="FFFFFFFF"/>
      <name val="Arial"/>
    </font>
    <font>
      <i/>
      <sz val="10"/>
      <color rgb="FFFFFFFF"/>
      <name val="Arial"/>
    </font>
    <font>
      <b/>
      <sz val="10"/>
      <color theme="1"/>
      <name val="Arial"/>
    </font>
    <font>
      <b/>
      <u/>
      <sz val="10"/>
      <color rgb="FFFFFFFF"/>
      <name val="Arial"/>
    </font>
    <font>
      <b/>
      <u/>
      <sz val="10"/>
      <color rgb="FFFFFFFF"/>
      <name val="Arial"/>
    </font>
    <font>
      <b/>
      <u/>
      <sz val="10"/>
      <color rgb="FFFFFFFF"/>
      <name val="Arial"/>
    </font>
    <font>
      <b/>
      <sz val="10"/>
      <color rgb="FF000000"/>
      <name val="Arial"/>
    </font>
    <font>
      <b/>
      <u/>
      <sz val="10"/>
      <color rgb="FF000000"/>
      <name val="Arial"/>
    </font>
    <font>
      <b/>
      <u/>
      <sz val="10"/>
      <color rgb="FF000000"/>
      <name val="Arial"/>
    </font>
    <font>
      <b/>
      <u/>
      <sz val="10"/>
      <color theme="1"/>
      <name val="Arial"/>
    </font>
    <font>
      <b/>
      <u/>
      <sz val="10"/>
      <color rgb="FF000000"/>
      <name val="Arial"/>
    </font>
    <font>
      <sz val="10"/>
      <color rgb="FF000000"/>
      <name val="Arial"/>
    </font>
    <font>
      <i/>
      <sz val="9"/>
      <color theme="1"/>
      <name val="Arial"/>
    </font>
    <font>
      <b/>
      <u/>
      <sz val="10"/>
      <color rgb="FFFFFFFF"/>
      <name val="Arial"/>
    </font>
    <font>
      <b/>
      <sz val="10"/>
      <color rgb="FF0000FF"/>
      <name val="Arial"/>
    </font>
    <font>
      <sz val="10"/>
      <color rgb="FF0000FF"/>
      <name val="Arial"/>
    </font>
    <font>
      <b/>
      <u/>
      <sz val="10"/>
      <color rgb="FFFFFFFF"/>
      <name val="Arial"/>
    </font>
    <font>
      <b/>
      <u/>
      <sz val="10"/>
      <color rgb="FFFFFFFF"/>
      <name val="Arial"/>
    </font>
    <font>
      <b/>
      <u/>
      <sz val="10"/>
      <color rgb="FF0000FF"/>
      <name val="Arial"/>
    </font>
    <font>
      <b/>
      <u/>
      <sz val="10"/>
      <color theme="1"/>
      <name val="Arial"/>
    </font>
    <font>
      <i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b/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theme="1"/>
      <name val="Arial"/>
    </font>
    <font>
      <u/>
      <sz val="10"/>
      <color rgb="FF0000FF"/>
      <name val="Arial"/>
    </font>
    <font>
      <u/>
      <sz val="10"/>
      <color theme="1"/>
      <name val="Arial"/>
    </font>
    <font>
      <u/>
      <sz val="10"/>
      <color theme="1"/>
      <name val="Arial"/>
    </font>
    <font>
      <b/>
      <u/>
      <sz val="10"/>
      <color rgb="FFFFFFFF"/>
      <name val="Arial"/>
    </font>
    <font>
      <b/>
      <u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3366FF"/>
        <bgColor rgb="FF3366FF"/>
      </patternFill>
    </fill>
    <fill>
      <patternFill patternType="solid">
        <fgColor rgb="FFFFCC00"/>
        <bgColor rgb="FFFFCC00"/>
      </patternFill>
    </fill>
    <fill>
      <patternFill patternType="solid">
        <fgColor rgb="FFCCFFFF"/>
        <bgColor rgb="FFCCFFFF"/>
      </patternFill>
    </fill>
    <fill>
      <patternFill patternType="solid">
        <fgColor rgb="FFFFFF99"/>
        <bgColor rgb="FFFFFF99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808080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80808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</borders>
  <cellStyleXfs count="1">
    <xf numFmtId="0" fontId="0" fillId="0" borderId="0"/>
  </cellStyleXfs>
  <cellXfs count="208"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4" fillId="3" borderId="1" xfId="0" applyFont="1" applyFill="1" applyBorder="1" applyAlignment="1">
      <alignment horizontal="center"/>
    </xf>
    <xf numFmtId="0" fontId="5" fillId="0" borderId="0" xfId="0" applyFont="1" applyAlignment="1"/>
    <xf numFmtId="0" fontId="6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horizontal="center" wrapText="1"/>
    </xf>
    <xf numFmtId="0" fontId="8" fillId="3" borderId="1" xfId="0" applyFont="1" applyFill="1" applyBorder="1" applyAlignment="1">
      <alignment horizontal="center"/>
    </xf>
    <xf numFmtId="14" fontId="2" fillId="0" borderId="0" xfId="0" applyNumberFormat="1" applyFont="1" applyAlignment="1">
      <alignment horizontal="left" vertical="top"/>
    </xf>
    <xf numFmtId="0" fontId="2" fillId="0" borderId="0" xfId="0" applyFont="1" applyAlignment="1">
      <alignment vertical="top" wrapText="1"/>
    </xf>
    <xf numFmtId="164" fontId="2" fillId="0" borderId="2" xfId="0" applyNumberFormat="1" applyFont="1" applyBorder="1" applyAlignment="1">
      <alignment horizontal="right" vertical="top"/>
    </xf>
    <xf numFmtId="14" fontId="2" fillId="0" borderId="3" xfId="0" applyNumberFormat="1" applyFont="1" applyBorder="1" applyAlignment="1">
      <alignment horizontal="left" vertical="top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165" fontId="2" fillId="0" borderId="3" xfId="0" applyNumberFormat="1" applyFont="1" applyBorder="1" applyAlignment="1">
      <alignment horizontal="right" vertical="top"/>
    </xf>
    <xf numFmtId="14" fontId="2" fillId="0" borderId="5" xfId="0" applyNumberFormat="1" applyFont="1" applyBorder="1" applyAlignment="1">
      <alignment horizontal="left" vertical="top"/>
    </xf>
    <xf numFmtId="0" fontId="2" fillId="0" borderId="5" xfId="0" applyFont="1" applyBorder="1" applyAlignment="1">
      <alignment vertical="top" wrapText="1"/>
    </xf>
    <xf numFmtId="165" fontId="2" fillId="0" borderId="5" xfId="0" applyNumberFormat="1" applyFont="1" applyBorder="1" applyAlignment="1">
      <alignment horizontal="right" vertical="top"/>
    </xf>
    <xf numFmtId="0" fontId="9" fillId="2" borderId="1" xfId="0" applyFont="1" applyFill="1" applyBorder="1" applyAlignment="1"/>
    <xf numFmtId="0" fontId="10" fillId="2" borderId="1" xfId="0" applyFont="1" applyFill="1" applyBorder="1" applyAlignment="1"/>
    <xf numFmtId="0" fontId="11" fillId="2" borderId="1" xfId="0" applyFont="1" applyFill="1" applyBorder="1" applyAlignment="1"/>
    <xf numFmtId="0" fontId="12" fillId="2" borderId="1" xfId="0" applyFont="1" applyFill="1" applyBorder="1" applyAlignment="1"/>
    <xf numFmtId="0" fontId="13" fillId="2" borderId="1" xfId="0" applyFont="1" applyFill="1" applyBorder="1" applyAlignment="1"/>
    <xf numFmtId="0" fontId="10" fillId="0" borderId="0" xfId="0" applyFont="1" applyAlignment="1"/>
    <xf numFmtId="0" fontId="14" fillId="0" borderId="0" xfId="0" applyFont="1" applyAlignment="1"/>
    <xf numFmtId="0" fontId="14" fillId="0" borderId="0" xfId="0" applyFont="1" applyAlignment="1">
      <alignment horizontal="center"/>
    </xf>
    <xf numFmtId="0" fontId="16" fillId="2" borderId="1" xfId="0" applyFont="1" applyFill="1" applyBorder="1" applyAlignment="1">
      <alignment horizontal="center"/>
    </xf>
    <xf numFmtId="0" fontId="18" fillId="0" borderId="0" xfId="0" applyFont="1" applyAlignment="1">
      <alignment horizontal="left" vertical="top"/>
    </xf>
    <xf numFmtId="0" fontId="18" fillId="0" borderId="6" xfId="0" applyFont="1" applyBorder="1" applyAlignment="1">
      <alignment horizontal="center" vertical="top"/>
    </xf>
    <xf numFmtId="0" fontId="18" fillId="0" borderId="0" xfId="0" applyFont="1" applyAlignment="1">
      <alignment horizontal="center" vertical="top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center" vertical="top"/>
    </xf>
    <xf numFmtId="0" fontId="21" fillId="0" borderId="0" xfId="0" applyFont="1" applyAlignment="1">
      <alignment horizontal="center"/>
    </xf>
    <xf numFmtId="0" fontId="22" fillId="0" borderId="7" xfId="0" applyFont="1" applyBorder="1" applyAlignment="1">
      <alignment horizontal="center" vertical="top"/>
    </xf>
    <xf numFmtId="14" fontId="23" fillId="0" borderId="0" xfId="0" applyNumberFormat="1" applyFont="1" applyAlignment="1">
      <alignment horizontal="left" vertical="top"/>
    </xf>
    <xf numFmtId="0" fontId="23" fillId="0" borderId="0" xfId="0" applyFont="1" applyAlignment="1">
      <alignment horizontal="left" vertical="top" wrapText="1"/>
    </xf>
    <xf numFmtId="0" fontId="23" fillId="0" borderId="0" xfId="0" applyFont="1" applyAlignment="1">
      <alignment horizontal="center" vertical="top" wrapText="1"/>
    </xf>
    <xf numFmtId="164" fontId="2" fillId="0" borderId="0" xfId="0" applyNumberFormat="1" applyFont="1" applyAlignment="1">
      <alignment horizontal="right" vertical="top"/>
    </xf>
    <xf numFmtId="166" fontId="23" fillId="0" borderId="0" xfId="0" applyNumberFormat="1" applyFont="1" applyAlignment="1">
      <alignment horizontal="center" vertical="top"/>
    </xf>
    <xf numFmtId="166" fontId="23" fillId="0" borderId="7" xfId="0" applyNumberFormat="1" applyFont="1" applyBorder="1" applyAlignment="1">
      <alignment horizontal="center" vertical="top"/>
    </xf>
    <xf numFmtId="9" fontId="23" fillId="0" borderId="0" xfId="0" applyNumberFormat="1" applyFont="1" applyAlignment="1">
      <alignment horizontal="center" vertical="top"/>
    </xf>
    <xf numFmtId="0" fontId="23" fillId="0" borderId="0" xfId="0" applyFont="1" applyAlignment="1">
      <alignment horizontal="center" vertical="top"/>
    </xf>
    <xf numFmtId="14" fontId="23" fillId="4" borderId="1" xfId="0" applyNumberFormat="1" applyFont="1" applyFill="1" applyBorder="1" applyAlignment="1">
      <alignment horizontal="left" vertical="top"/>
    </xf>
    <xf numFmtId="0" fontId="23" fillId="4" borderId="1" xfId="0" applyFont="1" applyFill="1" applyBorder="1" applyAlignment="1">
      <alignment horizontal="left" vertical="top" wrapText="1"/>
    </xf>
    <xf numFmtId="0" fontId="23" fillId="4" borderId="1" xfId="0" applyFont="1" applyFill="1" applyBorder="1" applyAlignment="1">
      <alignment horizontal="center" vertical="top" wrapText="1"/>
    </xf>
    <xf numFmtId="165" fontId="2" fillId="4" borderId="1" xfId="0" applyNumberFormat="1" applyFont="1" applyFill="1" applyBorder="1" applyAlignment="1">
      <alignment horizontal="right" vertical="top"/>
    </xf>
    <xf numFmtId="166" fontId="23" fillId="4" borderId="1" xfId="0" applyNumberFormat="1" applyFont="1" applyFill="1" applyBorder="1" applyAlignment="1">
      <alignment horizontal="center" vertical="top"/>
    </xf>
    <xf numFmtId="166" fontId="23" fillId="4" borderId="8" xfId="0" applyNumberFormat="1" applyFont="1" applyFill="1" applyBorder="1" applyAlignment="1">
      <alignment horizontal="center" vertical="top"/>
    </xf>
    <xf numFmtId="9" fontId="23" fillId="4" borderId="1" xfId="0" applyNumberFormat="1" applyFont="1" applyFill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top"/>
    </xf>
    <xf numFmtId="167" fontId="23" fillId="0" borderId="0" xfId="0" applyNumberFormat="1" applyFont="1" applyAlignment="1">
      <alignment horizontal="center" vertical="top"/>
    </xf>
    <xf numFmtId="165" fontId="2" fillId="0" borderId="0" xfId="0" applyNumberFormat="1" applyFont="1" applyAlignment="1">
      <alignment horizontal="right" vertical="top"/>
    </xf>
    <xf numFmtId="9" fontId="2" fillId="4" borderId="1" xfId="0" applyNumberFormat="1" applyFont="1" applyFill="1" applyBorder="1" applyAlignment="1">
      <alignment horizontal="center" vertical="top"/>
    </xf>
    <xf numFmtId="166" fontId="2" fillId="4" borderId="8" xfId="0" applyNumberFormat="1" applyFont="1" applyFill="1" applyBorder="1" applyAlignment="1">
      <alignment horizontal="center" vertical="top"/>
    </xf>
    <xf numFmtId="166" fontId="2" fillId="0" borderId="7" xfId="0" applyNumberFormat="1" applyFont="1" applyBorder="1" applyAlignment="1">
      <alignment horizontal="center" vertical="top"/>
    </xf>
    <xf numFmtId="0" fontId="23" fillId="0" borderId="0" xfId="0" applyFont="1" applyAlignment="1">
      <alignment horizontal="left" vertical="top"/>
    </xf>
    <xf numFmtId="168" fontId="23" fillId="0" borderId="0" xfId="0" applyNumberFormat="1" applyFont="1" applyAlignment="1">
      <alignment horizontal="right" vertical="top"/>
    </xf>
    <xf numFmtId="166" fontId="23" fillId="0" borderId="1" xfId="0" applyNumberFormat="1" applyFont="1" applyBorder="1" applyAlignment="1">
      <alignment horizontal="center" vertical="top"/>
    </xf>
    <xf numFmtId="166" fontId="23" fillId="0" borderId="8" xfId="0" applyNumberFormat="1" applyFont="1" applyBorder="1" applyAlignment="1">
      <alignment horizontal="center" vertical="top"/>
    </xf>
    <xf numFmtId="9" fontId="2" fillId="0" borderId="0" xfId="0" applyNumberFormat="1" applyFont="1" applyAlignment="1"/>
    <xf numFmtId="0" fontId="23" fillId="0" borderId="1" xfId="0" applyFont="1" applyBorder="1" applyAlignment="1">
      <alignment horizontal="center" vertical="top"/>
    </xf>
    <xf numFmtId="9" fontId="23" fillId="0" borderId="1" xfId="0" applyNumberFormat="1" applyFont="1" applyBorder="1" applyAlignment="1">
      <alignment horizontal="center" vertical="top"/>
    </xf>
    <xf numFmtId="0" fontId="14" fillId="3" borderId="1" xfId="0" applyFont="1" applyFill="1" applyBorder="1" applyAlignment="1">
      <alignment horizontal="left"/>
    </xf>
    <xf numFmtId="0" fontId="2" fillId="3" borderId="1" xfId="0" applyFont="1" applyFill="1" applyBorder="1" applyAlignment="1"/>
    <xf numFmtId="166" fontId="14" fillId="3" borderId="1" xfId="0" applyNumberFormat="1" applyFont="1" applyFill="1" applyBorder="1" applyAlignment="1">
      <alignment horizontal="center"/>
    </xf>
    <xf numFmtId="166" fontId="14" fillId="3" borderId="8" xfId="0" applyNumberFormat="1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9" fontId="14" fillId="3" borderId="1" xfId="0" applyNumberFormat="1" applyFont="1" applyFill="1" applyBorder="1" applyAlignment="1">
      <alignment horizontal="center"/>
    </xf>
    <xf numFmtId="0" fontId="14" fillId="0" borderId="0" xfId="0" applyFont="1" applyAlignment="1">
      <alignment horizontal="left"/>
    </xf>
    <xf numFmtId="166" fontId="14" fillId="0" borderId="1" xfId="0" applyNumberFormat="1" applyFont="1" applyBorder="1" applyAlignment="1">
      <alignment horizontal="center"/>
    </xf>
    <xf numFmtId="166" fontId="14" fillId="0" borderId="8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9" fontId="14" fillId="0" borderId="1" xfId="0" applyNumberFormat="1" applyFont="1" applyBorder="1" applyAlignment="1">
      <alignment horizontal="center"/>
    </xf>
    <xf numFmtId="0" fontId="2" fillId="0" borderId="1" xfId="0" applyFont="1" applyBorder="1" applyAlignment="1"/>
    <xf numFmtId="166" fontId="14" fillId="3" borderId="9" xfId="0" applyNumberFormat="1" applyFont="1" applyFill="1" applyBorder="1" applyAlignment="1">
      <alignment horizontal="center"/>
    </xf>
    <xf numFmtId="0" fontId="2" fillId="0" borderId="10" xfId="0" applyFont="1" applyBorder="1" applyAlignment="1"/>
    <xf numFmtId="0" fontId="2" fillId="0" borderId="0" xfId="0" applyFont="1" applyAlignment="1">
      <alignment horizontal="left"/>
    </xf>
    <xf numFmtId="169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9" fontId="2" fillId="0" borderId="1" xfId="0" applyNumberFormat="1" applyFont="1" applyBorder="1" applyAlignment="1">
      <alignment horizontal="left"/>
    </xf>
    <xf numFmtId="0" fontId="24" fillId="0" borderId="0" xfId="0" applyFont="1" applyAlignment="1"/>
    <xf numFmtId="166" fontId="2" fillId="0" borderId="0" xfId="0" applyNumberFormat="1" applyFont="1" applyAlignment="1">
      <alignment horizontal="left"/>
    </xf>
    <xf numFmtId="9" fontId="2" fillId="0" borderId="0" xfId="0" applyNumberFormat="1" applyFont="1" applyAlignment="1">
      <alignment horizontal="left"/>
    </xf>
    <xf numFmtId="170" fontId="9" fillId="2" borderId="1" xfId="0" applyNumberFormat="1" applyFont="1" applyFill="1" applyBorder="1" applyAlignment="1"/>
    <xf numFmtId="0" fontId="2" fillId="2" borderId="1" xfId="0" applyFont="1" applyFill="1" applyBorder="1" applyAlignment="1"/>
    <xf numFmtId="10" fontId="2" fillId="0" borderId="0" xfId="0" applyNumberFormat="1" applyFont="1" applyAlignment="1"/>
    <xf numFmtId="0" fontId="14" fillId="4" borderId="1" xfId="0" applyFont="1" applyFill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26" fillId="5" borderId="1" xfId="0" applyFont="1" applyFill="1" applyBorder="1" applyAlignment="1">
      <alignment horizontal="right"/>
    </xf>
    <xf numFmtId="0" fontId="14" fillId="4" borderId="1" xfId="0" applyFont="1" applyFill="1" applyBorder="1" applyAlignment="1">
      <alignment horizontal="center"/>
    </xf>
    <xf numFmtId="0" fontId="27" fillId="5" borderId="1" xfId="0" applyFont="1" applyFill="1" applyBorder="1" applyAlignment="1">
      <alignment horizontal="right"/>
    </xf>
    <xf numFmtId="171" fontId="27" fillId="5" borderId="1" xfId="0" applyNumberFormat="1" applyFont="1" applyFill="1" applyBorder="1" applyAlignment="1">
      <alignment horizontal="right"/>
    </xf>
    <xf numFmtId="0" fontId="29" fillId="4" borderId="1" xfId="0" applyFont="1" applyFill="1" applyBorder="1" applyAlignment="1">
      <alignment horizontal="left"/>
    </xf>
    <xf numFmtId="14" fontId="30" fillId="5" borderId="1" xfId="0" applyNumberFormat="1" applyFont="1" applyFill="1" applyBorder="1" applyAlignment="1">
      <alignment horizontal="center"/>
    </xf>
    <xf numFmtId="14" fontId="31" fillId="4" borderId="1" xfId="0" applyNumberFormat="1" applyFont="1" applyFill="1" applyBorder="1" applyAlignment="1">
      <alignment horizontal="center"/>
    </xf>
    <xf numFmtId="172" fontId="32" fillId="5" borderId="1" xfId="0" applyNumberFormat="1" applyFont="1" applyFill="1" applyBorder="1" applyAlignment="1"/>
    <xf numFmtId="173" fontId="26" fillId="5" borderId="1" xfId="0" applyNumberFormat="1" applyFont="1" applyFill="1" applyBorder="1" applyAlignment="1">
      <alignment horizontal="right"/>
    </xf>
    <xf numFmtId="173" fontId="26" fillId="5" borderId="11" xfId="0" applyNumberFormat="1" applyFont="1" applyFill="1" applyBorder="1" applyAlignment="1">
      <alignment horizontal="right"/>
    </xf>
    <xf numFmtId="173" fontId="26" fillId="5" borderId="12" xfId="0" applyNumberFormat="1" applyFont="1" applyFill="1" applyBorder="1" applyAlignment="1">
      <alignment horizontal="right"/>
    </xf>
    <xf numFmtId="173" fontId="14" fillId="4" borderId="1" xfId="0" applyNumberFormat="1" applyFont="1" applyFill="1" applyBorder="1" applyAlignment="1">
      <alignment horizontal="right"/>
    </xf>
    <xf numFmtId="174" fontId="33" fillId="5" borderId="1" xfId="0" applyNumberFormat="1" applyFont="1" applyFill="1" applyBorder="1" applyAlignment="1">
      <alignment horizontal="right"/>
    </xf>
    <xf numFmtId="174" fontId="34" fillId="5" borderId="13" xfId="0" applyNumberFormat="1" applyFont="1" applyFill="1" applyBorder="1" applyAlignment="1">
      <alignment horizontal="right"/>
    </xf>
    <xf numFmtId="174" fontId="35" fillId="5" borderId="14" xfId="0" applyNumberFormat="1" applyFont="1" applyFill="1" applyBorder="1" applyAlignment="1">
      <alignment horizontal="right"/>
    </xf>
    <xf numFmtId="174" fontId="36" fillId="4" borderId="1" xfId="0" applyNumberFormat="1" applyFont="1" applyFill="1" applyBorder="1" applyAlignment="1">
      <alignment horizontal="right"/>
    </xf>
    <xf numFmtId="173" fontId="14" fillId="4" borderId="13" xfId="0" applyNumberFormat="1" applyFont="1" applyFill="1" applyBorder="1" applyAlignment="1">
      <alignment horizontal="right"/>
    </xf>
    <xf numFmtId="173" fontId="14" fillId="4" borderId="14" xfId="0" applyNumberFormat="1" applyFont="1" applyFill="1" applyBorder="1" applyAlignment="1">
      <alignment horizontal="right"/>
    </xf>
    <xf numFmtId="166" fontId="2" fillId="4" borderId="1" xfId="0" applyNumberFormat="1" applyFont="1" applyFill="1" applyBorder="1" applyAlignment="1"/>
    <xf numFmtId="174" fontId="27" fillId="5" borderId="1" xfId="0" applyNumberFormat="1" applyFont="1" applyFill="1" applyBorder="1" applyAlignment="1">
      <alignment horizontal="right"/>
    </xf>
    <xf numFmtId="174" fontId="27" fillId="5" borderId="13" xfId="0" applyNumberFormat="1" applyFont="1" applyFill="1" applyBorder="1" applyAlignment="1">
      <alignment horizontal="right"/>
    </xf>
    <xf numFmtId="174" fontId="27" fillId="5" borderId="14" xfId="0" applyNumberFormat="1" applyFont="1" applyFill="1" applyBorder="1" applyAlignment="1">
      <alignment horizontal="right"/>
    </xf>
    <xf numFmtId="174" fontId="2" fillId="4" borderId="1" xfId="0" applyNumberFormat="1" applyFont="1" applyFill="1" applyBorder="1" applyAlignment="1">
      <alignment horizontal="right"/>
    </xf>
    <xf numFmtId="175" fontId="37" fillId="5" borderId="1" xfId="0" applyNumberFormat="1" applyFont="1" applyFill="1" applyBorder="1" applyAlignment="1">
      <alignment horizontal="right"/>
    </xf>
    <xf numFmtId="175" fontId="38" fillId="5" borderId="13" xfId="0" applyNumberFormat="1" applyFont="1" applyFill="1" applyBorder="1" applyAlignment="1">
      <alignment horizontal="right"/>
    </xf>
    <xf numFmtId="175" fontId="39" fillId="5" borderId="14" xfId="0" applyNumberFormat="1" applyFont="1" applyFill="1" applyBorder="1" applyAlignment="1">
      <alignment horizontal="right"/>
    </xf>
    <xf numFmtId="175" fontId="40" fillId="4" borderId="1" xfId="0" applyNumberFormat="1" applyFont="1" applyFill="1" applyBorder="1" applyAlignment="1">
      <alignment horizontal="right"/>
    </xf>
    <xf numFmtId="171" fontId="27" fillId="4" borderId="1" xfId="0" applyNumberFormat="1" applyFont="1" applyFill="1" applyBorder="1" applyAlignment="1">
      <alignment horizontal="right"/>
    </xf>
    <xf numFmtId="14" fontId="27" fillId="5" borderId="1" xfId="0" applyNumberFormat="1" applyFont="1" applyFill="1" applyBorder="1" applyAlignment="1">
      <alignment horizontal="right"/>
    </xf>
    <xf numFmtId="173" fontId="41" fillId="4" borderId="1" xfId="0" applyNumberFormat="1" applyFont="1" applyFill="1" applyBorder="1" applyAlignment="1">
      <alignment horizontal="right"/>
    </xf>
    <xf numFmtId="173" fontId="42" fillId="4" borderId="13" xfId="0" applyNumberFormat="1" applyFont="1" applyFill="1" applyBorder="1" applyAlignment="1">
      <alignment horizontal="right"/>
    </xf>
    <xf numFmtId="173" fontId="43" fillId="4" borderId="14" xfId="0" applyNumberFormat="1" applyFont="1" applyFill="1" applyBorder="1" applyAlignment="1">
      <alignment horizontal="right"/>
    </xf>
    <xf numFmtId="0" fontId="1" fillId="4" borderId="1" xfId="0" applyFont="1" applyFill="1" applyBorder="1" applyAlignment="1"/>
    <xf numFmtId="172" fontId="1" fillId="4" borderId="1" xfId="0" applyNumberFormat="1" applyFont="1" applyFill="1" applyBorder="1" applyAlignment="1">
      <alignment horizontal="right"/>
    </xf>
    <xf numFmtId="172" fontId="1" fillId="4" borderId="13" xfId="0" applyNumberFormat="1" applyFont="1" applyFill="1" applyBorder="1" applyAlignment="1">
      <alignment horizontal="right"/>
    </xf>
    <xf numFmtId="172" fontId="1" fillId="4" borderId="14" xfId="0" applyNumberFormat="1" applyFont="1" applyFill="1" applyBorder="1" applyAlignment="1">
      <alignment horizontal="right"/>
    </xf>
    <xf numFmtId="176" fontId="27" fillId="5" borderId="1" xfId="0" applyNumberFormat="1" applyFont="1" applyFill="1" applyBorder="1" applyAlignment="1"/>
    <xf numFmtId="0" fontId="2" fillId="4" borderId="1" xfId="0" applyFont="1" applyFill="1" applyBorder="1" applyAlignment="1">
      <alignment horizontal="right"/>
    </xf>
    <xf numFmtId="0" fontId="2" fillId="4" borderId="13" xfId="0" applyFont="1" applyFill="1" applyBorder="1" applyAlignment="1">
      <alignment horizontal="right"/>
    </xf>
    <xf numFmtId="0" fontId="2" fillId="4" borderId="14" xfId="0" applyFont="1" applyFill="1" applyBorder="1" applyAlignment="1">
      <alignment horizontal="right"/>
    </xf>
    <xf numFmtId="177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left"/>
    </xf>
    <xf numFmtId="177" fontId="27" fillId="5" borderId="1" xfId="0" applyNumberFormat="1" applyFont="1" applyFill="1" applyBorder="1" applyAlignment="1"/>
    <xf numFmtId="176" fontId="2" fillId="4" borderId="1" xfId="0" applyNumberFormat="1" applyFont="1" applyFill="1" applyBorder="1" applyAlignment="1">
      <alignment horizontal="right"/>
    </xf>
    <xf numFmtId="176" fontId="2" fillId="4" borderId="15" xfId="0" applyNumberFormat="1" applyFont="1" applyFill="1" applyBorder="1" applyAlignment="1">
      <alignment horizontal="right"/>
    </xf>
    <xf numFmtId="176" fontId="2" fillId="4" borderId="16" xfId="0" applyNumberFormat="1" applyFont="1" applyFill="1" applyBorder="1" applyAlignment="1">
      <alignment horizontal="right"/>
    </xf>
    <xf numFmtId="0" fontId="45" fillId="4" borderId="1" xfId="0" applyFont="1" applyFill="1" applyBorder="1" applyAlignment="1"/>
    <xf numFmtId="176" fontId="14" fillId="4" borderId="1" xfId="0" applyNumberFormat="1" applyFont="1" applyFill="1" applyBorder="1" applyAlignment="1"/>
    <xf numFmtId="173" fontId="2" fillId="4" borderId="1" xfId="0" applyNumberFormat="1" applyFont="1" applyFill="1" applyBorder="1" applyAlignment="1">
      <alignment horizontal="right"/>
    </xf>
    <xf numFmtId="173" fontId="2" fillId="4" borderId="11" xfId="0" applyNumberFormat="1" applyFont="1" applyFill="1" applyBorder="1" applyAlignment="1">
      <alignment horizontal="right"/>
    </xf>
    <xf numFmtId="173" fontId="2" fillId="4" borderId="12" xfId="0" applyNumberFormat="1" applyFont="1" applyFill="1" applyBorder="1" applyAlignment="1">
      <alignment horizontal="right"/>
    </xf>
    <xf numFmtId="178" fontId="46" fillId="4" borderId="1" xfId="0" applyNumberFormat="1" applyFont="1" applyFill="1" applyBorder="1" applyAlignment="1"/>
    <xf numFmtId="0" fontId="27" fillId="0" borderId="0" xfId="0" applyFont="1" applyAlignment="1">
      <alignment horizontal="left" vertical="top" wrapText="1"/>
    </xf>
    <xf numFmtId="173" fontId="14" fillId="4" borderId="1" xfId="0" applyNumberFormat="1" applyFont="1" applyFill="1" applyBorder="1" applyAlignment="1"/>
    <xf numFmtId="178" fontId="27" fillId="5" borderId="1" xfId="0" applyNumberFormat="1" applyFont="1" applyFill="1" applyBorder="1" applyAlignment="1"/>
    <xf numFmtId="178" fontId="2" fillId="4" borderId="1" xfId="0" applyNumberFormat="1" applyFont="1" applyFill="1" applyBorder="1" applyAlignment="1"/>
    <xf numFmtId="174" fontId="27" fillId="5" borderId="1" xfId="0" applyNumberFormat="1" applyFont="1" applyFill="1" applyBorder="1" applyAlignment="1"/>
    <xf numFmtId="173" fontId="2" fillId="4" borderId="13" xfId="0" applyNumberFormat="1" applyFont="1" applyFill="1" applyBorder="1" applyAlignment="1">
      <alignment horizontal="right"/>
    </xf>
    <xf numFmtId="173" fontId="2" fillId="4" borderId="14" xfId="0" applyNumberFormat="1" applyFont="1" applyFill="1" applyBorder="1" applyAlignment="1">
      <alignment horizontal="right"/>
    </xf>
    <xf numFmtId="179" fontId="47" fillId="4" borderId="1" xfId="0" applyNumberFormat="1" applyFont="1" applyFill="1" applyBorder="1" applyAlignment="1"/>
    <xf numFmtId="180" fontId="2" fillId="4" borderId="1" xfId="0" applyNumberFormat="1" applyFont="1" applyFill="1" applyBorder="1" applyAlignment="1">
      <alignment horizontal="right"/>
    </xf>
    <xf numFmtId="180" fontId="2" fillId="4" borderId="13" xfId="0" applyNumberFormat="1" applyFont="1" applyFill="1" applyBorder="1" applyAlignment="1">
      <alignment horizontal="right"/>
    </xf>
    <xf numFmtId="180" fontId="2" fillId="4" borderId="14" xfId="0" applyNumberFormat="1" applyFont="1" applyFill="1" applyBorder="1" applyAlignment="1">
      <alignment horizontal="right"/>
    </xf>
    <xf numFmtId="178" fontId="14" fillId="4" borderId="1" xfId="0" applyNumberFormat="1" applyFont="1" applyFill="1" applyBorder="1" applyAlignment="1"/>
    <xf numFmtId="181" fontId="2" fillId="0" borderId="0" xfId="0" applyNumberFormat="1" applyFont="1" applyAlignment="1"/>
    <xf numFmtId="175" fontId="48" fillId="5" borderId="1" xfId="0" applyNumberFormat="1" applyFont="1" applyFill="1" applyBorder="1" applyAlignment="1"/>
    <xf numFmtId="178" fontId="49" fillId="4" borderId="1" xfId="0" applyNumberFormat="1" applyFont="1" applyFill="1" applyBorder="1" applyAlignment="1"/>
    <xf numFmtId="173" fontId="50" fillId="4" borderId="1" xfId="0" applyNumberFormat="1" applyFont="1" applyFill="1" applyBorder="1" applyAlignment="1"/>
    <xf numFmtId="180" fontId="2" fillId="0" borderId="0" xfId="0" applyNumberFormat="1" applyFont="1" applyAlignment="1"/>
    <xf numFmtId="180" fontId="51" fillId="4" borderId="1" xfId="0" applyNumberFormat="1" applyFont="1" applyFill="1" applyBorder="1" applyAlignment="1">
      <alignment horizontal="right"/>
    </xf>
    <xf numFmtId="180" fontId="52" fillId="4" borderId="13" xfId="0" applyNumberFormat="1" applyFont="1" applyFill="1" applyBorder="1" applyAlignment="1">
      <alignment horizontal="right"/>
    </xf>
    <xf numFmtId="180" fontId="53" fillId="4" borderId="14" xfId="0" applyNumberFormat="1" applyFont="1" applyFill="1" applyBorder="1" applyAlignment="1">
      <alignment horizontal="right"/>
    </xf>
    <xf numFmtId="182" fontId="2" fillId="4" borderId="1" xfId="0" applyNumberFormat="1" applyFont="1" applyFill="1" applyBorder="1" applyAlignment="1">
      <alignment horizontal="right"/>
    </xf>
    <xf numFmtId="173" fontId="2" fillId="4" borderId="1" xfId="0" applyNumberFormat="1" applyFont="1" applyFill="1" applyBorder="1" applyAlignment="1"/>
    <xf numFmtId="183" fontId="2" fillId="4" borderId="1" xfId="0" applyNumberFormat="1" applyFont="1" applyFill="1" applyBorder="1" applyAlignment="1"/>
    <xf numFmtId="174" fontId="2" fillId="4" borderId="13" xfId="0" applyNumberFormat="1" applyFont="1" applyFill="1" applyBorder="1" applyAlignment="1">
      <alignment horizontal="right"/>
    </xf>
    <xf numFmtId="174" fontId="2" fillId="4" borderId="14" xfId="0" applyNumberFormat="1" applyFont="1" applyFill="1" applyBorder="1" applyAlignment="1">
      <alignment horizontal="right"/>
    </xf>
    <xf numFmtId="178" fontId="54" fillId="5" borderId="1" xfId="0" applyNumberFormat="1" applyFont="1" applyFill="1" applyBorder="1" applyAlignment="1"/>
    <xf numFmtId="177" fontId="55" fillId="5" borderId="1" xfId="0" applyNumberFormat="1" applyFont="1" applyFill="1" applyBorder="1" applyAlignment="1"/>
    <xf numFmtId="183" fontId="56" fillId="4" borderId="1" xfId="0" applyNumberFormat="1" applyFont="1" applyFill="1" applyBorder="1" applyAlignment="1"/>
    <xf numFmtId="180" fontId="14" fillId="4" borderId="1" xfId="0" applyNumberFormat="1" applyFont="1" applyFill="1" applyBorder="1" applyAlignment="1"/>
    <xf numFmtId="175" fontId="57" fillId="4" borderId="13" xfId="0" applyNumberFormat="1" applyFont="1" applyFill="1" applyBorder="1" applyAlignment="1">
      <alignment horizontal="right"/>
    </xf>
    <xf numFmtId="175" fontId="58" fillId="4" borderId="14" xfId="0" applyNumberFormat="1" applyFont="1" applyFill="1" applyBorder="1" applyAlignment="1">
      <alignment horizontal="right"/>
    </xf>
    <xf numFmtId="168" fontId="2" fillId="0" borderId="0" xfId="0" applyNumberFormat="1" applyFont="1" applyAlignment="1"/>
    <xf numFmtId="0" fontId="59" fillId="4" borderId="1" xfId="0" applyFont="1" applyFill="1" applyBorder="1" applyAlignment="1">
      <alignment horizontal="center"/>
    </xf>
    <xf numFmtId="173" fontId="27" fillId="5" borderId="1" xfId="0" applyNumberFormat="1" applyFont="1" applyFill="1" applyBorder="1" applyAlignment="1"/>
    <xf numFmtId="167" fontId="2" fillId="0" borderId="0" xfId="0" applyNumberFormat="1" applyFont="1" applyAlignment="1"/>
    <xf numFmtId="183" fontId="27" fillId="5" borderId="1" xfId="0" applyNumberFormat="1" applyFont="1" applyFill="1" applyBorder="1" applyAlignment="1"/>
    <xf numFmtId="174" fontId="27" fillId="5" borderId="11" xfId="0" applyNumberFormat="1" applyFont="1" applyFill="1" applyBorder="1" applyAlignment="1">
      <alignment horizontal="right"/>
    </xf>
    <xf numFmtId="174" fontId="27" fillId="5" borderId="12" xfId="0" applyNumberFormat="1" applyFont="1" applyFill="1" applyBorder="1" applyAlignment="1">
      <alignment horizontal="right"/>
    </xf>
    <xf numFmtId="183" fontId="60" fillId="5" borderId="1" xfId="0" applyNumberFormat="1" applyFont="1" applyFill="1" applyBorder="1" applyAlignment="1"/>
    <xf numFmtId="180" fontId="61" fillId="4" borderId="1" xfId="0" applyNumberFormat="1" applyFont="1" applyFill="1" applyBorder="1" applyAlignment="1"/>
    <xf numFmtId="14" fontId="27" fillId="5" borderId="1" xfId="0" applyNumberFormat="1" applyFont="1" applyFill="1" applyBorder="1" applyAlignment="1"/>
    <xf numFmtId="0" fontId="27" fillId="5" borderId="1" xfId="0" applyFont="1" applyFill="1" applyBorder="1" applyAlignment="1"/>
    <xf numFmtId="167" fontId="2" fillId="5" borderId="1" xfId="0" applyNumberFormat="1" applyFont="1" applyFill="1" applyBorder="1" applyAlignment="1"/>
    <xf numFmtId="14" fontId="27" fillId="4" borderId="1" xfId="0" applyNumberFormat="1" applyFont="1" applyFill="1" applyBorder="1" applyAlignment="1"/>
    <xf numFmtId="0" fontId="63" fillId="0" borderId="0" xfId="0" applyFont="1" applyAlignment="1"/>
    <xf numFmtId="166" fontId="2" fillId="0" borderId="0" xfId="0" applyNumberFormat="1" applyFont="1" applyAlignment="1"/>
    <xf numFmtId="0" fontId="64" fillId="0" borderId="0" xfId="0" applyFont="1" applyAlignment="1">
      <alignment horizontal="left"/>
    </xf>
    <xf numFmtId="0" fontId="0" fillId="0" borderId="0" xfId="0"/>
    <xf numFmtId="43" fontId="2" fillId="0" borderId="0" xfId="0" applyNumberFormat="1" applyFont="1" applyAlignment="1"/>
    <xf numFmtId="184" fontId="1" fillId="4" borderId="1" xfId="0" applyNumberFormat="1" applyFont="1" applyFill="1" applyBorder="1" applyAlignment="1">
      <alignment horizontal="right"/>
    </xf>
    <xf numFmtId="184" fontId="1" fillId="4" borderId="13" xfId="0" applyNumberFormat="1" applyFont="1" applyFill="1" applyBorder="1" applyAlignment="1">
      <alignment horizontal="right"/>
    </xf>
    <xf numFmtId="184" fontId="1" fillId="4" borderId="14" xfId="0" applyNumberFormat="1" applyFont="1" applyFill="1" applyBorder="1" applyAlignment="1">
      <alignment horizontal="right"/>
    </xf>
    <xf numFmtId="185" fontId="62" fillId="4" borderId="1" xfId="0" applyNumberFormat="1" applyFont="1" applyFill="1" applyBorder="1" applyAlignment="1"/>
    <xf numFmtId="184" fontId="1" fillId="4" borderId="15" xfId="0" applyNumberFormat="1" applyFont="1" applyFill="1" applyBorder="1" applyAlignment="1">
      <alignment horizontal="right"/>
    </xf>
    <xf numFmtId="184" fontId="1" fillId="4" borderId="16" xfId="0" applyNumberFormat="1" applyFont="1" applyFill="1" applyBorder="1" applyAlignment="1">
      <alignment horizontal="right"/>
    </xf>
    <xf numFmtId="186" fontId="26" fillId="0" borderId="0" xfId="0" applyNumberFormat="1" applyFont="1" applyAlignment="1"/>
    <xf numFmtId="0" fontId="3" fillId="2" borderId="1" xfId="0" applyFont="1" applyFill="1" applyBorder="1" applyAlignment="1">
      <alignment horizontal="left"/>
    </xf>
    <xf numFmtId="0" fontId="0" fillId="0" borderId="0" xfId="0"/>
    <xf numFmtId="0" fontId="15" fillId="2" borderId="1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 vertical="top"/>
    </xf>
    <xf numFmtId="0" fontId="25" fillId="2" borderId="1" xfId="0" applyFont="1" applyFill="1" applyBorder="1" applyAlignment="1">
      <alignment horizontal="left"/>
    </xf>
    <xf numFmtId="0" fontId="44" fillId="4" borderId="1" xfId="0" applyFont="1" applyFill="1" applyBorder="1" applyAlignment="1">
      <alignment horizontal="left"/>
    </xf>
    <xf numFmtId="0" fontId="27" fillId="5" borderId="1" xfId="0" applyFont="1" applyFill="1" applyBorder="1" applyAlignment="1">
      <alignment horizontal="left" vertical="top" wrapText="1"/>
    </xf>
    <xf numFmtId="0" fontId="28" fillId="4" borderId="1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workbookViewId="0"/>
  </sheetViews>
  <sheetFormatPr defaultColWidth="12.5703125" defaultRowHeight="15" customHeight="1" x14ac:dyDescent="0.2"/>
  <cols>
    <col min="1" max="4" width="13.28515625" style="190" customWidth="1"/>
    <col min="5" max="5" width="44.85546875" style="190" customWidth="1"/>
    <col min="6" max="8" width="10.7109375" style="190" customWidth="1"/>
    <col min="9" max="26" width="8" style="190" customWidth="1"/>
  </cols>
  <sheetData>
    <row r="1" spans="1:26" ht="12.75" customHeight="1" x14ac:dyDescent="0.2">
      <c r="A1" s="1" t="s">
        <v>0</v>
      </c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22.5" customHeight="1" x14ac:dyDescent="0.25">
      <c r="A2" s="199" t="s">
        <v>1</v>
      </c>
      <c r="B2" s="200"/>
      <c r="C2" s="200"/>
      <c r="D2" s="200"/>
      <c r="E2" s="200"/>
      <c r="F2" s="200"/>
      <c r="G2" s="200"/>
      <c r="H2" s="200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1.25" customHeight="1" x14ac:dyDescent="0.2">
      <c r="A3" s="3" t="s">
        <v>2</v>
      </c>
      <c r="B3" s="4"/>
      <c r="C3" s="5"/>
      <c r="D3" s="5" t="s">
        <v>3</v>
      </c>
      <c r="E3" s="4"/>
      <c r="F3" s="5" t="s">
        <v>4</v>
      </c>
      <c r="G3" s="5" t="s">
        <v>5</v>
      </c>
      <c r="H3" s="5" t="s">
        <v>6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3.5" customHeight="1" x14ac:dyDescent="0.2">
      <c r="A4" s="7" t="s">
        <v>7</v>
      </c>
      <c r="B4" s="8" t="s">
        <v>8</v>
      </c>
      <c r="C4" s="8" t="s">
        <v>9</v>
      </c>
      <c r="D4" s="8" t="s">
        <v>10</v>
      </c>
      <c r="E4" s="9" t="s">
        <v>11</v>
      </c>
      <c r="F4" s="8" t="s">
        <v>12</v>
      </c>
      <c r="G4" s="8" t="s">
        <v>12</v>
      </c>
      <c r="H4" s="8" t="s">
        <v>13</v>
      </c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49.5" customHeight="1" x14ac:dyDescent="0.2">
      <c r="A5" s="10">
        <f>'ACQR;TRGT 1'!$E$16</f>
        <v>0</v>
      </c>
      <c r="B5" s="11" t="str">
        <f>'ACQR;TRGT 1'!$E$12</f>
        <v>Acquirer</v>
      </c>
      <c r="C5" s="11" t="str">
        <f>'ACQR;TRGT 1'!$E$7</f>
        <v>Target</v>
      </c>
      <c r="D5" s="11" t="str">
        <f>'ACQR;TRGT 1'!$E$18</f>
        <v>NA</v>
      </c>
      <c r="E5" s="11" t="str">
        <f>'ACQR;TRGT 1'!$O$7</f>
        <v>[to come]</v>
      </c>
      <c r="F5" s="12">
        <f>'ACQR;TRGT 1'!$E$30</f>
        <v>0</v>
      </c>
      <c r="G5" s="12">
        <f>'ACQR;TRGT 1'!$E$37</f>
        <v>0</v>
      </c>
      <c r="H5" s="12">
        <f>'ACQR;TRGT 1'!$M$10</f>
        <v>0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9.5" customHeight="1" x14ac:dyDescent="0.2">
      <c r="A6" s="13">
        <f>'ACQR;TRGT 2'!$E$16</f>
        <v>0</v>
      </c>
      <c r="B6" s="14" t="str">
        <f>'ACQR;TRGT 2'!$E$12</f>
        <v>Acquirer</v>
      </c>
      <c r="C6" s="14" t="str">
        <f>'ACQR;TRGT 2'!$E$7</f>
        <v>Target</v>
      </c>
      <c r="D6" s="15" t="str">
        <f>'ACQR;TRGT 2'!E18</f>
        <v>NA</v>
      </c>
      <c r="E6" s="15" t="str">
        <f>'ACQR;TRGT 2'!$O$7</f>
        <v>[to come]</v>
      </c>
      <c r="F6" s="16">
        <f>'ACQR;TRGT 2'!$E$30</f>
        <v>0</v>
      </c>
      <c r="G6" s="16">
        <f>'ACQR;TRGT 2'!$E$37</f>
        <v>0</v>
      </c>
      <c r="H6" s="16">
        <f>'ACQR;TRGT 2'!$M$10</f>
        <v>0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49.5" customHeight="1" x14ac:dyDescent="0.2">
      <c r="A7" s="13">
        <f>'ACQR;TRGT 3'!$E$16</f>
        <v>0</v>
      </c>
      <c r="B7" s="14" t="str">
        <f>'ACQR;TRGT 3'!$E$12</f>
        <v>Acquirer</v>
      </c>
      <c r="C7" s="14" t="str">
        <f>'ACQR;TRGT 3'!$E$7</f>
        <v>Target</v>
      </c>
      <c r="D7" s="15" t="str">
        <f>'ACQR;TRGT 3'!E18</f>
        <v>NA</v>
      </c>
      <c r="E7" s="15" t="str">
        <f>'ACQR;TRGT 3'!$O$7</f>
        <v>[to come]</v>
      </c>
      <c r="F7" s="16">
        <f>'ACQR;TRGT 3'!$E$30</f>
        <v>0</v>
      </c>
      <c r="G7" s="16">
        <f>'ACQR;TRGT 3'!$E$37</f>
        <v>0</v>
      </c>
      <c r="H7" s="16">
        <f>'ACQR;TRGT 3'!$M$10</f>
        <v>0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49.5" customHeight="1" x14ac:dyDescent="0.2">
      <c r="A8" s="13">
        <f>'ACQR;TRGT 4'!$E$16</f>
        <v>0</v>
      </c>
      <c r="B8" s="14" t="str">
        <f>'ACQR;TRGT 4'!$E$12</f>
        <v>Acquirer 4</v>
      </c>
      <c r="C8" s="14" t="str">
        <f>'ACQR;TRGT 4'!$E$7</f>
        <v>Target 4</v>
      </c>
      <c r="D8" s="15" t="str">
        <f>'ACQR;TRGT 4'!E18</f>
        <v>NA</v>
      </c>
      <c r="E8" s="15" t="str">
        <f>'ACQR;TRGT 4'!$O$7</f>
        <v>[to come]</v>
      </c>
      <c r="F8" s="16">
        <f>'ACQR;TRGT 4'!$E$30</f>
        <v>0</v>
      </c>
      <c r="G8" s="16">
        <f>'ACQR;TRGT 4'!$E$37</f>
        <v>0</v>
      </c>
      <c r="H8" s="16">
        <f>'ACQR;TRGT 4'!$M$10</f>
        <v>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49.5" customHeight="1" x14ac:dyDescent="0.2">
      <c r="A9" s="10">
        <f>'ACQR;TRGT 5'!$E$16</f>
        <v>0</v>
      </c>
      <c r="B9" s="11" t="str">
        <f>'ACQR;TRGT 5'!$E$12</f>
        <v>Acquirer 5</v>
      </c>
      <c r="C9" s="11" t="str">
        <f>'ACQR;TRGT 5'!$E$7</f>
        <v>Target 5</v>
      </c>
      <c r="D9" s="15" t="str">
        <f>'ACQR;TRGT 5'!E18</f>
        <v>NA</v>
      </c>
      <c r="E9" s="15" t="str">
        <f>'ACQR;TRGT 5'!$O$7</f>
        <v>[to come]</v>
      </c>
      <c r="F9" s="16">
        <f>'ACQR;TRGT 5'!$E$30</f>
        <v>0</v>
      </c>
      <c r="G9" s="16">
        <f>'ACQR;TRGT 5'!$E$37</f>
        <v>0</v>
      </c>
      <c r="H9" s="16">
        <f>'ACQR;TRGT 5'!$M$10</f>
        <v>0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49.5" customHeight="1" x14ac:dyDescent="0.2">
      <c r="A10" s="13">
        <f>'ACQR;TRGT 6'!$E$16</f>
        <v>0</v>
      </c>
      <c r="B10" s="14" t="str">
        <f>'ACQR;TRGT 6'!$E$12</f>
        <v>Acquirer 6</v>
      </c>
      <c r="C10" s="14" t="str">
        <f>'ACQR;TRGT 6'!$E$7</f>
        <v>Target 6</v>
      </c>
      <c r="D10" s="15" t="str">
        <f>'ACQR;TRGT 6'!E18</f>
        <v>NA</v>
      </c>
      <c r="E10" s="15" t="str">
        <f>'ACQR;TRGT 6'!$O$7</f>
        <v>[to come]</v>
      </c>
      <c r="F10" s="16">
        <f>'ACQR;TRGT 6'!$E$30</f>
        <v>0</v>
      </c>
      <c r="G10" s="16">
        <f>'ACQR;TRGT 6'!$E$37</f>
        <v>0</v>
      </c>
      <c r="H10" s="16">
        <f>'ACQR;TRGT 6'!$M$10</f>
        <v>0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9.5" customHeight="1" x14ac:dyDescent="0.2">
      <c r="A11" s="13">
        <f>'ACQR;TRGT 7'!$E$16</f>
        <v>0</v>
      </c>
      <c r="B11" s="14" t="str">
        <f>'ACQR;TRGT 7'!$E$12</f>
        <v>Acquirer 7</v>
      </c>
      <c r="C11" s="14" t="str">
        <f>'ACQR;TRGT 7'!$E$7</f>
        <v>Target 7</v>
      </c>
      <c r="D11" s="15" t="str">
        <f>'ACQR;TRGT 7'!E18</f>
        <v>NA</v>
      </c>
      <c r="E11" s="15" t="str">
        <f>'ACQR;TRGT 7'!$O$7</f>
        <v>[to come]</v>
      </c>
      <c r="F11" s="16">
        <f>'ACQR;TRGT 7'!$E$30</f>
        <v>0</v>
      </c>
      <c r="G11" s="16">
        <f>'ACQR;TRGT 7'!$E$37</f>
        <v>0</v>
      </c>
      <c r="H11" s="16">
        <f>'ACQR;TRGT 7'!$M$10</f>
        <v>0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49.5" customHeight="1" x14ac:dyDescent="0.2">
      <c r="A12" s="13">
        <f>'ACQR;TRGT 8'!$E$16</f>
        <v>0</v>
      </c>
      <c r="B12" s="14" t="str">
        <f>'ACQR;TRGT 8'!$E$12</f>
        <v>Acquirer 8</v>
      </c>
      <c r="C12" s="14" t="str">
        <f>'ACQR;TRGT 8'!$E$7</f>
        <v>Target 8</v>
      </c>
      <c r="D12" s="15" t="str">
        <f>'ACQR;TRGT 8'!E18</f>
        <v>NA</v>
      </c>
      <c r="E12" s="15" t="str">
        <f>'ACQR;TRGT 8'!$O$7</f>
        <v>[to come]</v>
      </c>
      <c r="F12" s="16">
        <f>'ACQR;TRGT 8'!$E$30</f>
        <v>0</v>
      </c>
      <c r="G12" s="16">
        <f>'ACQR;TRGT 8'!$E$37</f>
        <v>0</v>
      </c>
      <c r="H12" s="16">
        <f>'ACQR;TRGT 8'!$M$10</f>
        <v>0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9.5" customHeight="1" x14ac:dyDescent="0.2">
      <c r="A13" s="13">
        <f>'ACQR;TRGT 9'!$E$16</f>
        <v>0</v>
      </c>
      <c r="B13" s="14" t="str">
        <f>'ACQR;TRGT 9'!$E$12</f>
        <v>Acquirer 9</v>
      </c>
      <c r="C13" s="14" t="str">
        <f>'ACQR;TRGT 9'!$E$7</f>
        <v>Target 9</v>
      </c>
      <c r="D13" s="15" t="str">
        <f>'ACQR;TRGT 9'!E18</f>
        <v>NA</v>
      </c>
      <c r="E13" s="15" t="str">
        <f>'ACQR;TRGT 9'!$O$7</f>
        <v>[to come]</v>
      </c>
      <c r="F13" s="16">
        <f>'ACQR;TRGT 9'!$E$30</f>
        <v>0</v>
      </c>
      <c r="G13" s="16">
        <f>'ACQR;TRGT 9'!$E$37</f>
        <v>0</v>
      </c>
      <c r="H13" s="16">
        <f>'ACQR;TRGT 9'!$M$10</f>
        <v>0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49.5" customHeight="1" x14ac:dyDescent="0.2">
      <c r="A14" s="17">
        <f>'ACQR;TRGT 10'!$E$16</f>
        <v>0</v>
      </c>
      <c r="B14" s="18" t="str">
        <f>'ACQR;TRGT 10'!$E$12</f>
        <v>Acquirer 10</v>
      </c>
      <c r="C14" s="18" t="str">
        <f>'ACQR;TRGT 10'!$E$7</f>
        <v>Target 10</v>
      </c>
      <c r="D14" s="11" t="str">
        <f>'ACQR;TRGT 10'!E18</f>
        <v>NA</v>
      </c>
      <c r="E14" s="11" t="str">
        <f>'ACQR;TRGT 10'!$O$7</f>
        <v>[to come]</v>
      </c>
      <c r="F14" s="19">
        <f>'ACQR;TRGT 10'!$E$30</f>
        <v>0</v>
      </c>
      <c r="G14" s="19">
        <f>'ACQR;TRGT 10'!$E$37</f>
        <v>0</v>
      </c>
      <c r="H14" s="19">
        <f>'ACQR;TRGT 10'!$M$10</f>
        <v>0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2.75" customHeight="1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2.75" customHeight="1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2.75" customHeight="1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2.75" customHeight="1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2.75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2.75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2.75" customHeight="1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A2:H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showGridLines="0" workbookViewId="0"/>
  </sheetViews>
  <sheetFormatPr defaultColWidth="12.5703125" defaultRowHeight="15" customHeight="1" x14ac:dyDescent="0.2"/>
  <cols>
    <col min="1" max="1" width="0.85546875" style="190" customWidth="1"/>
    <col min="2" max="2" width="14.7109375" style="190" customWidth="1"/>
    <col min="3" max="4" width="20.7109375" style="190" customWidth="1"/>
    <col min="5" max="5" width="13.7109375" style="190" customWidth="1"/>
    <col min="6" max="6" width="15.7109375" style="190" customWidth="1"/>
    <col min="7" max="11" width="12.7109375" style="190" customWidth="1"/>
    <col min="12" max="12" width="0.85546875" style="190" customWidth="1"/>
    <col min="13" max="13" width="12.7109375" style="190" customWidth="1"/>
    <col min="14" max="14" width="0.85546875" style="190" customWidth="1"/>
    <col min="15" max="15" width="12.7109375" style="190" customWidth="1"/>
    <col min="16" max="16" width="0.85546875" style="190" customWidth="1"/>
    <col min="17" max="19" width="7.7109375" style="190" customWidth="1"/>
    <col min="20" max="20" width="0.85546875" style="190" customWidth="1"/>
    <col min="21" max="33" width="8" style="190" customWidth="1"/>
  </cols>
  <sheetData>
    <row r="1" spans="1:33" ht="26.25" customHeight="1" x14ac:dyDescent="0.4">
      <c r="A1" s="20" t="s">
        <v>14</v>
      </c>
      <c r="B1" s="20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</row>
    <row r="2" spans="1:33" ht="20.25" customHeight="1" x14ac:dyDescent="0.3">
      <c r="A2" s="22" t="s">
        <v>15</v>
      </c>
      <c r="B2" s="23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</row>
    <row r="3" spans="1:33" ht="12.75" customHeight="1" x14ac:dyDescent="0.2">
      <c r="A3" s="24" t="s">
        <v>0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</row>
    <row r="4" spans="1:33" ht="12.75" customHeight="1" x14ac:dyDescent="0.2">
      <c r="A4" s="25"/>
      <c r="B4" s="2"/>
      <c r="C4" s="2"/>
      <c r="D4" s="2"/>
      <c r="E4" s="2"/>
      <c r="F4" s="2"/>
      <c r="G4" s="2"/>
      <c r="H4" s="2"/>
      <c r="I4" s="25"/>
      <c r="J4" s="2"/>
      <c r="K4" s="25"/>
      <c r="L4" s="25"/>
      <c r="M4" s="25"/>
      <c r="N4" s="25"/>
      <c r="O4" s="25"/>
      <c r="P4" s="25"/>
      <c r="Q4" s="25"/>
      <c r="R4" s="25"/>
      <c r="S4" s="25"/>
      <c r="T4" s="25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</row>
    <row r="5" spans="1:33" ht="12.75" customHeight="1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</row>
    <row r="6" spans="1:33" ht="15" customHeight="1" x14ac:dyDescent="0.2">
      <c r="A6" s="26"/>
      <c r="B6" s="26"/>
      <c r="C6" s="26"/>
      <c r="D6" s="26"/>
      <c r="E6" s="26"/>
      <c r="F6" s="26"/>
      <c r="G6" s="27"/>
      <c r="H6" s="26"/>
      <c r="I6" s="201" t="s">
        <v>16</v>
      </c>
      <c r="J6" s="200"/>
      <c r="K6" s="200"/>
      <c r="L6" s="26"/>
      <c r="M6" s="27" t="s">
        <v>17</v>
      </c>
      <c r="N6" s="26"/>
      <c r="O6" s="28" t="s">
        <v>18</v>
      </c>
      <c r="P6" s="26"/>
      <c r="Q6" s="203" t="s">
        <v>19</v>
      </c>
      <c r="R6" s="200"/>
      <c r="S6" s="200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</row>
    <row r="7" spans="1:33" ht="12.75" customHeight="1" x14ac:dyDescent="0.2">
      <c r="A7" s="26"/>
      <c r="B7" s="29" t="s">
        <v>2</v>
      </c>
      <c r="C7" s="26"/>
      <c r="D7" s="26"/>
      <c r="E7" s="27" t="s">
        <v>3</v>
      </c>
      <c r="F7" s="27" t="s">
        <v>20</v>
      </c>
      <c r="G7" s="27" t="s">
        <v>4</v>
      </c>
      <c r="H7" s="27" t="s">
        <v>5</v>
      </c>
      <c r="I7" s="27" t="s">
        <v>17</v>
      </c>
      <c r="J7" s="30" t="s">
        <v>17</v>
      </c>
      <c r="K7" s="31" t="s">
        <v>17</v>
      </c>
      <c r="L7" s="31"/>
      <c r="M7" s="27" t="s">
        <v>21</v>
      </c>
      <c r="N7" s="31"/>
      <c r="O7" s="31" t="s">
        <v>17</v>
      </c>
      <c r="P7" s="29"/>
      <c r="Q7" s="202" t="s">
        <v>22</v>
      </c>
      <c r="R7" s="200"/>
      <c r="S7" s="200"/>
      <c r="T7" s="29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</row>
    <row r="8" spans="1:33" ht="15" customHeight="1" x14ac:dyDescent="0.2">
      <c r="A8" s="26"/>
      <c r="B8" s="32" t="s">
        <v>7</v>
      </c>
      <c r="C8" s="33" t="s">
        <v>8</v>
      </c>
      <c r="D8" s="33" t="s">
        <v>9</v>
      </c>
      <c r="E8" s="33" t="s">
        <v>10</v>
      </c>
      <c r="F8" s="33" t="s">
        <v>23</v>
      </c>
      <c r="G8" s="33" t="s">
        <v>12</v>
      </c>
      <c r="H8" s="33" t="s">
        <v>12</v>
      </c>
      <c r="I8" s="34" t="s">
        <v>24</v>
      </c>
      <c r="J8" s="35" t="s">
        <v>21</v>
      </c>
      <c r="K8" s="33" t="s">
        <v>25</v>
      </c>
      <c r="L8" s="33"/>
      <c r="M8" s="34" t="s">
        <v>26</v>
      </c>
      <c r="N8" s="33"/>
      <c r="O8" s="33" t="s">
        <v>27</v>
      </c>
      <c r="P8" s="29"/>
      <c r="Q8" s="33" t="s">
        <v>28</v>
      </c>
      <c r="R8" s="33" t="s">
        <v>29</v>
      </c>
      <c r="S8" s="33" t="s">
        <v>30</v>
      </c>
      <c r="T8" s="29"/>
      <c r="U8" s="26"/>
      <c r="V8" s="2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</row>
    <row r="9" spans="1:33" ht="3.75" customHeight="1" x14ac:dyDescent="0.2">
      <c r="A9" s="26"/>
      <c r="B9" s="32"/>
      <c r="C9" s="33"/>
      <c r="D9" s="33"/>
      <c r="E9" s="33"/>
      <c r="F9" s="33"/>
      <c r="G9" s="33"/>
      <c r="H9" s="33"/>
      <c r="I9" s="34"/>
      <c r="J9" s="35"/>
      <c r="K9" s="33"/>
      <c r="L9" s="33"/>
      <c r="M9" s="26"/>
      <c r="N9" s="33"/>
      <c r="O9" s="33"/>
      <c r="P9" s="29"/>
      <c r="Q9" s="33"/>
      <c r="R9" s="33"/>
      <c r="S9" s="33"/>
      <c r="T9" s="29"/>
      <c r="U9" s="26"/>
      <c r="V9" s="2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</row>
    <row r="10" spans="1:33" ht="30" customHeight="1" x14ac:dyDescent="0.2">
      <c r="A10" s="2"/>
      <c r="B10" s="36">
        <f>'ACQR;TRGT 1'!$E$16</f>
        <v>0</v>
      </c>
      <c r="C10" s="37" t="str">
        <f>'ACQR;TRGT 1'!$E$12</f>
        <v>Acquirer</v>
      </c>
      <c r="D10" s="37" t="str">
        <f>'ACQR;TRGT 1'!$E$7</f>
        <v>Target</v>
      </c>
      <c r="E10" s="37" t="str">
        <f>'ACQR;TRGT 1'!$E$18</f>
        <v>NA</v>
      </c>
      <c r="F10" s="38" t="str">
        <f>'ACQR;TRGT 1'!$E$19</f>
        <v>NA</v>
      </c>
      <c r="G10" s="39">
        <f>'ACQR;TRGT 1'!$E$30</f>
        <v>0</v>
      </c>
      <c r="H10" s="39">
        <f>'ACQR;TRGT 1'!$E$37</f>
        <v>0</v>
      </c>
      <c r="I10" s="40" t="str">
        <f>'ACQR;TRGT 1'!$E$40</f>
        <v>NA</v>
      </c>
      <c r="J10" s="41" t="str">
        <f>'ACQR;TRGT 1'!$E$42</f>
        <v>NA</v>
      </c>
      <c r="K10" s="40" t="str">
        <f>'ACQR;TRGT 1'!$E$44</f>
        <v>NA</v>
      </c>
      <c r="L10" s="40"/>
      <c r="M10" s="42" t="str">
        <f>'ACQR;TRGT 1'!$M$41</f>
        <v>NA</v>
      </c>
      <c r="N10" s="40"/>
      <c r="O10" s="40" t="str">
        <f>'ACQR;TRGT 1'!$E$46</f>
        <v>NA</v>
      </c>
      <c r="P10" s="43"/>
      <c r="Q10" s="42" t="str">
        <f>'ACQR;TRGT 1'!$E$53</f>
        <v>NA</v>
      </c>
      <c r="R10" s="42" t="str">
        <f>'ACQR;TRGT 1'!$E$54</f>
        <v>NA</v>
      </c>
      <c r="S10" s="42" t="str">
        <f>'ACQR;TRGT 1'!$E$55</f>
        <v>NA</v>
      </c>
      <c r="T10" s="43"/>
      <c r="U10" s="26"/>
      <c r="V10" s="2"/>
      <c r="W10" s="26"/>
      <c r="X10" s="26"/>
      <c r="Y10" s="26"/>
      <c r="Z10" s="26"/>
      <c r="AA10" s="26"/>
      <c r="AB10" s="2"/>
      <c r="AC10" s="2"/>
      <c r="AD10" s="2"/>
      <c r="AE10" s="2"/>
      <c r="AF10" s="2"/>
      <c r="AG10" s="2"/>
    </row>
    <row r="11" spans="1:33" ht="30" customHeight="1" x14ac:dyDescent="0.2">
      <c r="A11" s="2"/>
      <c r="B11" s="44">
        <f>'ACQR;TRGT 2'!$E$16</f>
        <v>0</v>
      </c>
      <c r="C11" s="45" t="str">
        <f>'ACQR;TRGT 2'!$E$12</f>
        <v>Acquirer</v>
      </c>
      <c r="D11" s="45" t="str">
        <f>'ACQR;TRGT 2'!$E$7</f>
        <v>Target</v>
      </c>
      <c r="E11" s="45" t="str">
        <f>'ACQR;TRGT 2'!$E$18</f>
        <v>NA</v>
      </c>
      <c r="F11" s="46" t="str">
        <f>'ACQR;TRGT 2'!$E$19</f>
        <v>NA</v>
      </c>
      <c r="G11" s="47">
        <f>'ACQR;TRGT 2'!$E$30</f>
        <v>0</v>
      </c>
      <c r="H11" s="47">
        <f>'ACQR;TRGT 2'!$E$37</f>
        <v>0</v>
      </c>
      <c r="I11" s="48" t="str">
        <f>'ACQR;TRGT 2'!$E$40</f>
        <v>NA</v>
      </c>
      <c r="J11" s="49" t="str">
        <f>'ACQR;TRGT 2'!$E$42</f>
        <v>NA</v>
      </c>
      <c r="K11" s="48" t="str">
        <f>'ACQR;TRGT 2'!$E$44</f>
        <v>NA</v>
      </c>
      <c r="L11" s="48"/>
      <c r="M11" s="50" t="str">
        <f>'ACQR;TRGT 2'!$M$41</f>
        <v>NA</v>
      </c>
      <c r="N11" s="48"/>
      <c r="O11" s="48" t="str">
        <f>'ACQR;TRGT 2'!$E$46</f>
        <v>NA</v>
      </c>
      <c r="P11" s="51"/>
      <c r="Q11" s="50" t="str">
        <f>'ACQR;TRGT 2'!$E$53</f>
        <v>NA</v>
      </c>
      <c r="R11" s="50" t="str">
        <f>'ACQR;TRGT 2'!$E$54</f>
        <v>NA</v>
      </c>
      <c r="S11" s="50" t="str">
        <f>'ACQR;TRGT 2'!$E$55</f>
        <v>NA</v>
      </c>
      <c r="T11" s="43"/>
      <c r="U11" s="26"/>
      <c r="V11" s="2"/>
      <c r="W11" s="26"/>
      <c r="X11" s="26"/>
      <c r="Y11" s="26"/>
      <c r="Z11" s="26"/>
      <c r="AA11" s="26"/>
      <c r="AB11" s="40"/>
      <c r="AC11" s="40"/>
      <c r="AD11" s="43"/>
      <c r="AE11" s="52"/>
      <c r="AF11" s="52"/>
      <c r="AG11" s="52"/>
    </row>
    <row r="12" spans="1:33" ht="30" customHeight="1" x14ac:dyDescent="0.2">
      <c r="A12" s="2"/>
      <c r="B12" s="36">
        <f>'ACQR;TRGT 3'!$E$16</f>
        <v>0</v>
      </c>
      <c r="C12" s="37" t="str">
        <f>'ACQR;TRGT 3'!$E$12</f>
        <v>Acquirer</v>
      </c>
      <c r="D12" s="37" t="str">
        <f>'ACQR;TRGT 3'!$E$7</f>
        <v>Target</v>
      </c>
      <c r="E12" s="37" t="str">
        <f>'ACQR;TRGT 3'!$E$18</f>
        <v>NA</v>
      </c>
      <c r="F12" s="38" t="str">
        <f>'ACQR;TRGT 3'!$E$19</f>
        <v>NA</v>
      </c>
      <c r="G12" s="53">
        <f>'ACQR;TRGT 3'!$E$30</f>
        <v>0</v>
      </c>
      <c r="H12" s="53">
        <f>'ACQR;TRGT 3'!$E$37</f>
        <v>0</v>
      </c>
      <c r="I12" s="40" t="str">
        <f>'ACQR;TRGT 3'!$E$40</f>
        <v>NA</v>
      </c>
      <c r="J12" s="41" t="str">
        <f>'ACQR;TRGT 3'!$E$42</f>
        <v>NA</v>
      </c>
      <c r="K12" s="40" t="str">
        <f>'ACQR;TRGT 3'!$E$44</f>
        <v>NA</v>
      </c>
      <c r="L12" s="40"/>
      <c r="M12" s="42" t="str">
        <f>'ACQR;TRGT 3'!$M$41</f>
        <v>NA</v>
      </c>
      <c r="N12" s="40"/>
      <c r="O12" s="40" t="str">
        <f>'ACQR;TRGT 3'!$E$46</f>
        <v>NA</v>
      </c>
      <c r="P12" s="43"/>
      <c r="Q12" s="42" t="str">
        <f>'ACQR;TRGT 3'!$E$53</f>
        <v>NA</v>
      </c>
      <c r="R12" s="42" t="str">
        <f>'ACQR;TRGT 3'!$E$54</f>
        <v>NA</v>
      </c>
      <c r="S12" s="42" t="str">
        <f>'ACQR;TRGT 3'!$E$55</f>
        <v>NA</v>
      </c>
      <c r="T12" s="43"/>
      <c r="U12" s="26"/>
      <c r="V12" s="2"/>
      <c r="W12" s="26"/>
      <c r="X12" s="26"/>
      <c r="Y12" s="26"/>
      <c r="Z12" s="26"/>
      <c r="AA12" s="26"/>
      <c r="AB12" s="2"/>
      <c r="AC12" s="2"/>
      <c r="AD12" s="2"/>
      <c r="AE12" s="2"/>
      <c r="AF12" s="2"/>
      <c r="AG12" s="2"/>
    </row>
    <row r="13" spans="1:33" ht="30" customHeight="1" x14ac:dyDescent="0.2">
      <c r="A13" s="2"/>
      <c r="B13" s="44">
        <f>'ACQR;TRGT 4'!$E$16</f>
        <v>0</v>
      </c>
      <c r="C13" s="45" t="str">
        <f>'ACQR;TRGT 4'!$E$12</f>
        <v>Acquirer 4</v>
      </c>
      <c r="D13" s="45" t="str">
        <f>'ACQR;TRGT 4'!$E$7</f>
        <v>Target 4</v>
      </c>
      <c r="E13" s="45" t="str">
        <f>'ACQR;TRGT 4'!$E$18</f>
        <v>NA</v>
      </c>
      <c r="F13" s="46" t="str">
        <f>'ACQR;TRGT 4'!$E$19</f>
        <v>NA</v>
      </c>
      <c r="G13" s="47">
        <f>'ACQR;TRGT 4'!$E$30</f>
        <v>0</v>
      </c>
      <c r="H13" s="47">
        <f>'ACQR;TRGT 4'!$E$37</f>
        <v>0</v>
      </c>
      <c r="I13" s="48" t="str">
        <f>'ACQR;TRGT 4'!$E$40</f>
        <v>NA</v>
      </c>
      <c r="J13" s="49" t="str">
        <f>'ACQR;TRGT 4'!$E$42</f>
        <v>NA</v>
      </c>
      <c r="K13" s="48" t="str">
        <f>'ACQR;TRGT 4'!$E$44</f>
        <v>NA</v>
      </c>
      <c r="L13" s="48"/>
      <c r="M13" s="50" t="str">
        <f>'ACQR;TRGT 4'!$M$41</f>
        <v>NA</v>
      </c>
      <c r="N13" s="48"/>
      <c r="O13" s="48" t="str">
        <f>'ACQR;TRGT 4'!$E$46</f>
        <v>NA</v>
      </c>
      <c r="P13" s="51"/>
      <c r="Q13" s="54" t="str">
        <f>'ACQR;TRGT 4'!$E$53</f>
        <v>NA</v>
      </c>
      <c r="R13" s="54" t="str">
        <f>'ACQR;TRGT 4'!$E$54</f>
        <v>NA</v>
      </c>
      <c r="S13" s="54" t="str">
        <f>'ACQR;TRGT 4'!$E$55</f>
        <v>NA</v>
      </c>
      <c r="T13" s="43"/>
      <c r="U13" s="26"/>
      <c r="V13" s="2"/>
      <c r="W13" s="26"/>
      <c r="X13" s="26"/>
      <c r="Y13" s="26"/>
      <c r="Z13" s="26"/>
      <c r="AA13" s="26"/>
      <c r="AB13" s="2"/>
      <c r="AC13" s="2"/>
      <c r="AD13" s="2"/>
      <c r="AE13" s="2"/>
      <c r="AF13" s="2"/>
      <c r="AG13" s="2"/>
    </row>
    <row r="14" spans="1:33" ht="30" customHeight="1" x14ac:dyDescent="0.2">
      <c r="A14" s="2"/>
      <c r="B14" s="36">
        <f>'ACQR;TRGT 5'!$E$16</f>
        <v>0</v>
      </c>
      <c r="C14" s="37" t="str">
        <f>'ACQR;TRGT 5'!$E$12</f>
        <v>Acquirer 5</v>
      </c>
      <c r="D14" s="37" t="str">
        <f>'ACQR;TRGT 5'!$E$7</f>
        <v>Target 5</v>
      </c>
      <c r="E14" s="37" t="str">
        <f>'ACQR;TRGT 5'!$E$18</f>
        <v>NA</v>
      </c>
      <c r="F14" s="38" t="str">
        <f>'ACQR;TRGT 5'!$E$19</f>
        <v>NA</v>
      </c>
      <c r="G14" s="53">
        <f>'ACQR;TRGT 5'!$E$30</f>
        <v>0</v>
      </c>
      <c r="H14" s="53">
        <f>'ACQR;TRGT 5'!$E$37</f>
        <v>0</v>
      </c>
      <c r="I14" s="40" t="str">
        <f>'ACQR;TRGT 5'!$E$40</f>
        <v>NA</v>
      </c>
      <c r="J14" s="41" t="str">
        <f>'ACQR;TRGT 5'!$E$42</f>
        <v>NA</v>
      </c>
      <c r="K14" s="40" t="str">
        <f>'ACQR;TRGT 5'!$E$44</f>
        <v>NA</v>
      </c>
      <c r="L14" s="40"/>
      <c r="M14" s="42" t="str">
        <f>'ACQR;TRGT 5'!$M$41</f>
        <v>NA</v>
      </c>
      <c r="N14" s="40"/>
      <c r="O14" s="40" t="str">
        <f>'ACQR;TRGT 5'!$E$46</f>
        <v>NA</v>
      </c>
      <c r="P14" s="43"/>
      <c r="Q14" s="42" t="str">
        <f>'ACQR;TRGT 5'!$E$53</f>
        <v>NA</v>
      </c>
      <c r="R14" s="42" t="str">
        <f>'ACQR;TRGT 5'!$E$54</f>
        <v>NA</v>
      </c>
      <c r="S14" s="42" t="str">
        <f>'ACQR;TRGT 5'!$E$55</f>
        <v>NA</v>
      </c>
      <c r="T14" s="43"/>
      <c r="U14" s="26"/>
      <c r="V14" s="2"/>
      <c r="W14" s="26"/>
      <c r="X14" s="26"/>
      <c r="Y14" s="26"/>
      <c r="Z14" s="26"/>
      <c r="AA14" s="26"/>
      <c r="AB14" s="2"/>
      <c r="AC14" s="2"/>
      <c r="AD14" s="2"/>
      <c r="AE14" s="2"/>
      <c r="AF14" s="2"/>
      <c r="AG14" s="2"/>
    </row>
    <row r="15" spans="1:33" ht="30" customHeight="1" x14ac:dyDescent="0.2">
      <c r="A15" s="2"/>
      <c r="B15" s="44">
        <f>'ACQR;TRGT 6'!$E$16</f>
        <v>0</v>
      </c>
      <c r="C15" s="45" t="str">
        <f>'ACQR;TRGT 6'!$E$12</f>
        <v>Acquirer 6</v>
      </c>
      <c r="D15" s="45" t="str">
        <f>'ACQR;TRGT 6'!$E$7</f>
        <v>Target 6</v>
      </c>
      <c r="E15" s="45" t="str">
        <f>'ACQR;TRGT 6'!$E$18</f>
        <v>NA</v>
      </c>
      <c r="F15" s="46" t="str">
        <f>'ACQR;TRGT 6'!$E$19</f>
        <v>NA</v>
      </c>
      <c r="G15" s="47">
        <f>'ACQR;TRGT 6'!$E$30</f>
        <v>0</v>
      </c>
      <c r="H15" s="47">
        <f>'ACQR;TRGT 6'!$E$37</f>
        <v>0</v>
      </c>
      <c r="I15" s="48" t="str">
        <f>'ACQR;TRGT 6'!$E$40</f>
        <v>NA</v>
      </c>
      <c r="J15" s="49" t="str">
        <f>'ACQR;TRGT 6'!$E$42</f>
        <v>NA</v>
      </c>
      <c r="K15" s="48" t="str">
        <f>'ACQR;TRGT 6'!$E$44</f>
        <v>NA</v>
      </c>
      <c r="L15" s="48"/>
      <c r="M15" s="50" t="str">
        <f>'ACQR;TRGT 6'!$M$41</f>
        <v>NA</v>
      </c>
      <c r="N15" s="48"/>
      <c r="O15" s="48" t="str">
        <f>'ACQR;TRGT 6'!$E$46</f>
        <v>NA</v>
      </c>
      <c r="P15" s="51"/>
      <c r="Q15" s="54" t="str">
        <f>'ACQR;TRGT 6'!$E$53</f>
        <v>NA</v>
      </c>
      <c r="R15" s="54" t="str">
        <f>'ACQR;TRGT 6'!$E$54</f>
        <v>NA</v>
      </c>
      <c r="S15" s="54" t="str">
        <f>'ACQR;TRGT 6'!$E$55</f>
        <v>NA</v>
      </c>
      <c r="T15" s="43"/>
      <c r="U15" s="26"/>
      <c r="V15" s="2"/>
      <c r="W15" s="26"/>
      <c r="X15" s="26"/>
      <c r="Y15" s="26"/>
      <c r="Z15" s="26"/>
      <c r="AA15" s="26"/>
      <c r="AB15" s="2"/>
      <c r="AC15" s="2"/>
      <c r="AD15" s="2"/>
      <c r="AE15" s="2"/>
      <c r="AF15" s="2"/>
      <c r="AG15" s="2"/>
    </row>
    <row r="16" spans="1:33" ht="30" customHeight="1" x14ac:dyDescent="0.2">
      <c r="A16" s="2"/>
      <c r="B16" s="36">
        <f>'ACQR;TRGT 7'!E16</f>
        <v>0</v>
      </c>
      <c r="C16" s="37" t="str">
        <f>'ACQR;TRGT 7'!E12</f>
        <v>Acquirer 7</v>
      </c>
      <c r="D16" s="37" t="str">
        <f>'ACQR;TRGT 7'!E7</f>
        <v>Target 7</v>
      </c>
      <c r="E16" s="37" t="str">
        <f>'ACQR;TRGT 7'!$E$18</f>
        <v>NA</v>
      </c>
      <c r="F16" s="38" t="str">
        <f>'ACQR;TRGT 7'!$E$19</f>
        <v>NA</v>
      </c>
      <c r="G16" s="53">
        <f>'ACQR;TRGT 7'!$E$30</f>
        <v>0</v>
      </c>
      <c r="H16" s="53">
        <f>'ACQR;TRGT 7'!$E$37</f>
        <v>0</v>
      </c>
      <c r="I16" s="40" t="str">
        <f>'ACQR;TRGT 7'!$E$40</f>
        <v>NA</v>
      </c>
      <c r="J16" s="41" t="str">
        <f>'ACQR;TRGT 7'!$E$42</f>
        <v>NA</v>
      </c>
      <c r="K16" s="40" t="str">
        <f>'ACQR;TRGT 7'!$E$44</f>
        <v>NA</v>
      </c>
      <c r="L16" s="40"/>
      <c r="M16" s="42" t="str">
        <f>'ACQR;TRGT 7'!$M$41</f>
        <v>NA</v>
      </c>
      <c r="N16" s="40"/>
      <c r="O16" s="40" t="str">
        <f>'ACQR;TRGT 7'!$E$46</f>
        <v>NA</v>
      </c>
      <c r="P16" s="43"/>
      <c r="Q16" s="42" t="str">
        <f>'ACQR;TRGT 7'!$E$53</f>
        <v>NA</v>
      </c>
      <c r="R16" s="42" t="str">
        <f>'ACQR;TRGT 7'!$E$54</f>
        <v>NA</v>
      </c>
      <c r="S16" s="42" t="str">
        <f>'ACQR;TRGT 7'!$E$55</f>
        <v>NA</v>
      </c>
      <c r="T16" s="43"/>
      <c r="U16" s="26"/>
      <c r="V16" s="2"/>
      <c r="W16" s="26"/>
      <c r="X16" s="26"/>
      <c r="Y16" s="26"/>
      <c r="Z16" s="26"/>
      <c r="AA16" s="26"/>
      <c r="AB16" s="2"/>
      <c r="AC16" s="2"/>
      <c r="AD16" s="2"/>
      <c r="AE16" s="2"/>
      <c r="AF16" s="2"/>
      <c r="AG16" s="2"/>
    </row>
    <row r="17" spans="1:33" ht="30" customHeight="1" x14ac:dyDescent="0.2">
      <c r="A17" s="2"/>
      <c r="B17" s="44">
        <f>'ACQR;TRGT 8'!$E$16</f>
        <v>0</v>
      </c>
      <c r="C17" s="45" t="str">
        <f>'ACQR;TRGT 8'!$E$12</f>
        <v>Acquirer 8</v>
      </c>
      <c r="D17" s="45" t="str">
        <f>'ACQR;TRGT 8'!$E$7</f>
        <v>Target 8</v>
      </c>
      <c r="E17" s="45" t="str">
        <f>'ACQR;TRGT 8'!$E$18</f>
        <v>NA</v>
      </c>
      <c r="F17" s="46" t="str">
        <f>'ACQR;TRGT 8'!$E$19</f>
        <v>NA</v>
      </c>
      <c r="G17" s="47">
        <f>'ACQR;TRGT 8'!$E$30</f>
        <v>0</v>
      </c>
      <c r="H17" s="47">
        <f>'ACQR;TRGT 8'!$E$37</f>
        <v>0</v>
      </c>
      <c r="I17" s="48" t="str">
        <f>'ACQR;TRGT 8'!$E$40</f>
        <v>NA</v>
      </c>
      <c r="J17" s="55" t="str">
        <f>'ACQR;TRGT 8'!$E$42</f>
        <v>NA</v>
      </c>
      <c r="K17" s="48" t="str">
        <f>'ACQR;TRGT 8'!$E$44</f>
        <v>NA</v>
      </c>
      <c r="L17" s="48"/>
      <c r="M17" s="50" t="str">
        <f>'ACQR;TRGT 8'!$M$41</f>
        <v>NA</v>
      </c>
      <c r="N17" s="48"/>
      <c r="O17" s="48" t="str">
        <f>'ACQR;TRGT 8'!$E$46</f>
        <v>NA</v>
      </c>
      <c r="P17" s="51"/>
      <c r="Q17" s="54" t="str">
        <f>'ACQR;TRGT 8'!$E$53</f>
        <v>NA</v>
      </c>
      <c r="R17" s="54" t="str">
        <f>'ACQR;TRGT 8'!$E$54</f>
        <v>NA</v>
      </c>
      <c r="S17" s="54" t="str">
        <f>'ACQR;TRGT 8'!$E$55</f>
        <v>NA</v>
      </c>
      <c r="T17" s="43"/>
      <c r="U17" s="26"/>
      <c r="V17" s="2"/>
      <c r="W17" s="26"/>
      <c r="X17" s="26"/>
      <c r="Y17" s="26"/>
      <c r="Z17" s="26"/>
      <c r="AA17" s="26"/>
      <c r="AB17" s="2"/>
      <c r="AC17" s="2"/>
      <c r="AD17" s="2"/>
      <c r="AE17" s="2"/>
      <c r="AF17" s="2"/>
      <c r="AG17" s="2"/>
    </row>
    <row r="18" spans="1:33" ht="30" customHeight="1" x14ac:dyDescent="0.2">
      <c r="A18" s="2"/>
      <c r="B18" s="36">
        <f>'ACQR;TRGT 9'!$E$16</f>
        <v>0</v>
      </c>
      <c r="C18" s="37" t="str">
        <f>'ACQR;TRGT 9'!$E$12</f>
        <v>Acquirer 9</v>
      </c>
      <c r="D18" s="37" t="str">
        <f>'ACQR;TRGT 9'!$E$7</f>
        <v>Target 9</v>
      </c>
      <c r="E18" s="37" t="str">
        <f>'ACQR;TRGT 9'!$E$18</f>
        <v>NA</v>
      </c>
      <c r="F18" s="38" t="str">
        <f>'ACQR;TRGT 9'!$E$19</f>
        <v>NA</v>
      </c>
      <c r="G18" s="53">
        <f>'ACQR;TRGT 9'!$E$30</f>
        <v>0</v>
      </c>
      <c r="H18" s="53">
        <f>'ACQR;TRGT 9'!$E$37</f>
        <v>0</v>
      </c>
      <c r="I18" s="40" t="str">
        <f>'ACQR;TRGT 9'!$E$40</f>
        <v>NA</v>
      </c>
      <c r="J18" s="56" t="str">
        <f>'ACQR;TRGT 9'!$E$42</f>
        <v>NA</v>
      </c>
      <c r="K18" s="40" t="str">
        <f>'ACQR;TRGT 9'!$E$44</f>
        <v>NA</v>
      </c>
      <c r="L18" s="40"/>
      <c r="M18" s="42" t="str">
        <f>'ACQR;TRGT 9'!$M$41</f>
        <v>NA</v>
      </c>
      <c r="N18" s="40"/>
      <c r="O18" s="40" t="str">
        <f>'ACQR;TRGT 9'!$E$46</f>
        <v>NA</v>
      </c>
      <c r="P18" s="43"/>
      <c r="Q18" s="42" t="str">
        <f>'ACQR;TRGT 9'!$E$53</f>
        <v>NA</v>
      </c>
      <c r="R18" s="42" t="str">
        <f>'ACQR;TRGT 9'!$E$54</f>
        <v>NA</v>
      </c>
      <c r="S18" s="42" t="str">
        <f>'ACQR;TRGT 9'!$E$55</f>
        <v>NA</v>
      </c>
      <c r="T18" s="43"/>
      <c r="U18" s="26"/>
      <c r="V18" s="2"/>
      <c r="W18" s="26"/>
      <c r="X18" s="26"/>
      <c r="Y18" s="26"/>
      <c r="Z18" s="26"/>
      <c r="AA18" s="26"/>
      <c r="AB18" s="2"/>
      <c r="AC18" s="2"/>
      <c r="AD18" s="2"/>
      <c r="AE18" s="2"/>
      <c r="AF18" s="2"/>
      <c r="AG18" s="2"/>
    </row>
    <row r="19" spans="1:33" ht="30" customHeight="1" x14ac:dyDescent="0.2">
      <c r="A19" s="2"/>
      <c r="B19" s="44">
        <f>'ACQR;TRGT 10'!$E$16</f>
        <v>0</v>
      </c>
      <c r="C19" s="45" t="str">
        <f>'ACQR;TRGT 10'!$E$12</f>
        <v>Acquirer 10</v>
      </c>
      <c r="D19" s="45" t="str">
        <f>'ACQR;TRGT 10'!$E$7</f>
        <v>Target 10</v>
      </c>
      <c r="E19" s="45" t="str">
        <f>'ACQR;TRGT 10'!$E$18</f>
        <v>NA</v>
      </c>
      <c r="F19" s="46" t="str">
        <f>'ACQR;TRGT 10'!$E$19</f>
        <v>NA</v>
      </c>
      <c r="G19" s="47">
        <f>'ACQR;TRGT 10'!$E$30</f>
        <v>0</v>
      </c>
      <c r="H19" s="47">
        <f>'ACQR;TRGT 10'!$E$37</f>
        <v>0</v>
      </c>
      <c r="I19" s="48" t="str">
        <f>'ACQR;TRGT 10'!$E$40</f>
        <v>NA</v>
      </c>
      <c r="J19" s="49" t="str">
        <f>'ACQR;TRGT 10'!$E$42</f>
        <v>NA</v>
      </c>
      <c r="K19" s="48" t="str">
        <f>'ACQR;TRGT 10'!$E$44</f>
        <v>NA</v>
      </c>
      <c r="L19" s="48"/>
      <c r="M19" s="50" t="str">
        <f>'ACQR;TRGT 10'!$M$41</f>
        <v>NA</v>
      </c>
      <c r="N19" s="48"/>
      <c r="O19" s="48" t="str">
        <f>'ACQR;TRGT 10'!$E$46</f>
        <v>NA</v>
      </c>
      <c r="P19" s="51"/>
      <c r="Q19" s="50" t="str">
        <f>'ACQR;TRGT 10'!$E$53</f>
        <v>NA</v>
      </c>
      <c r="R19" s="50" t="str">
        <f>'ACQR;TRGT 10'!$E$54</f>
        <v>NA</v>
      </c>
      <c r="S19" s="50" t="str">
        <f>'ACQR;TRGT 10'!$E$55</f>
        <v>NA</v>
      </c>
      <c r="T19" s="43"/>
      <c r="U19" s="26"/>
      <c r="V19" s="2"/>
      <c r="W19" s="26"/>
      <c r="X19" s="26"/>
      <c r="Y19" s="26"/>
      <c r="Z19" s="26"/>
      <c r="AA19" s="26"/>
      <c r="AB19" s="2"/>
      <c r="AC19" s="2"/>
      <c r="AD19" s="2"/>
      <c r="AE19" s="2"/>
      <c r="AF19" s="2"/>
      <c r="AG19" s="2"/>
    </row>
    <row r="20" spans="1:33" ht="12.75" customHeight="1" x14ac:dyDescent="0.2">
      <c r="A20" s="2"/>
      <c r="B20" s="36"/>
      <c r="C20" s="57"/>
      <c r="D20" s="57"/>
      <c r="E20" s="57"/>
      <c r="F20" s="57"/>
      <c r="G20" s="58"/>
      <c r="H20" s="58"/>
      <c r="I20" s="59"/>
      <c r="J20" s="60"/>
      <c r="K20" s="59"/>
      <c r="L20" s="59"/>
      <c r="M20" s="61"/>
      <c r="N20" s="59"/>
      <c r="O20" s="59"/>
      <c r="P20" s="62"/>
      <c r="Q20" s="63"/>
      <c r="R20" s="63"/>
      <c r="S20" s="63"/>
      <c r="T20" s="43"/>
      <c r="U20" s="26"/>
      <c r="V20" s="2"/>
      <c r="W20" s="26"/>
      <c r="X20" s="26"/>
      <c r="Y20" s="26"/>
      <c r="Z20" s="26"/>
      <c r="AA20" s="26"/>
      <c r="AB20" s="2"/>
      <c r="AC20" s="2"/>
      <c r="AD20" s="2"/>
      <c r="AE20" s="2"/>
      <c r="AF20" s="2"/>
      <c r="AG20" s="2"/>
    </row>
    <row r="21" spans="1:33" ht="12.75" customHeight="1" x14ac:dyDescent="0.2">
      <c r="A21" s="2"/>
      <c r="B21" s="64" t="s">
        <v>31</v>
      </c>
      <c r="C21" s="65"/>
      <c r="D21" s="65"/>
      <c r="E21" s="65"/>
      <c r="F21" s="65"/>
      <c r="G21" s="64"/>
      <c r="H21" s="64"/>
      <c r="I21" s="66" t="str">
        <f>IF(ISERROR(AVERAGE(I10:I19)),"NA",AVERAGE(I10:I19))</f>
        <v>NA</v>
      </c>
      <c r="J21" s="67" t="str">
        <f>IF(ISERROR(AVERAGE(J10:J19)),"NA",AVERAGE(J10:J19))</f>
        <v>NA</v>
      </c>
      <c r="K21" s="66" t="str">
        <f>IF(ISERROR(AVERAGE(K10:K19)),"NA",AVERAGE(K10:K19))</f>
        <v>NA</v>
      </c>
      <c r="L21" s="68"/>
      <c r="M21" s="69" t="str">
        <f>IF(ISERROR(AVERAGE(M10:M19)),"NA",AVERAGE(M10:M19))</f>
        <v>NA</v>
      </c>
      <c r="N21" s="68"/>
      <c r="O21" s="66" t="str">
        <f>IF(ISERROR(AVERAGE(O10:O19)),"NA",AVERAGE(O10:O19))</f>
        <v>NA</v>
      </c>
      <c r="P21" s="65" t="str">
        <f>IF(ISERROR(AVERAGE(P10:P19)),"NA",AVERAGE(P10:P19))</f>
        <v>NA</v>
      </c>
      <c r="Q21" s="69" t="str">
        <f>IF(ISERROR(AVERAGE(Q10:Q19)),"NA",AVERAGE(Q10:Q19))</f>
        <v>NA</v>
      </c>
      <c r="R21" s="69" t="str">
        <f>IF(ISERROR(AVERAGE(R10:R19)),"NA",AVERAGE(R10:R19))</f>
        <v>NA</v>
      </c>
      <c r="S21" s="69" t="str">
        <f>IF(ISERROR(AVERAGE(S10:S19)),"NA",AVERAGE(S10:S19))</f>
        <v>NA</v>
      </c>
      <c r="T21" s="2"/>
      <c r="U21" s="26"/>
      <c r="V21" s="2"/>
      <c r="W21" s="26"/>
      <c r="X21" s="26"/>
      <c r="Y21" s="26"/>
      <c r="Z21" s="26"/>
      <c r="AA21" s="26"/>
      <c r="AB21" s="2"/>
      <c r="AC21" s="2"/>
      <c r="AD21" s="2"/>
      <c r="AE21" s="2"/>
      <c r="AF21" s="2"/>
      <c r="AG21" s="2"/>
    </row>
    <row r="22" spans="1:33" ht="12.75" customHeight="1" x14ac:dyDescent="0.2">
      <c r="A22" s="2"/>
      <c r="B22" s="64" t="s">
        <v>32</v>
      </c>
      <c r="C22" s="65"/>
      <c r="D22" s="65"/>
      <c r="E22" s="65"/>
      <c r="F22" s="65"/>
      <c r="G22" s="64"/>
      <c r="H22" s="64"/>
      <c r="I22" s="66" t="str">
        <f>IF(ISERROR(MEDIAN(I10:I19)),"NA",MEDIAN(I10:I19))</f>
        <v>NA</v>
      </c>
      <c r="J22" s="67" t="str">
        <f>IF(ISERROR(MEDIAN(J10:J19)),"NA",MEDIAN(J10:J19))</f>
        <v>NA</v>
      </c>
      <c r="K22" s="66" t="str">
        <f>IF(ISERROR(MEDIAN(K10:K19)),"NA",MEDIAN(K10:K19))</f>
        <v>NA</v>
      </c>
      <c r="L22" s="68"/>
      <c r="M22" s="69" t="str">
        <f>IF(ISERROR(MEDIAN(M10:M19)),"NA",MEDIAN(M10:M19))</f>
        <v>NA</v>
      </c>
      <c r="N22" s="68"/>
      <c r="O22" s="66" t="str">
        <f>IF(ISERROR(MEDIAN(O10:O19)),"NA",MEDIAN(O10:O19))</f>
        <v>NA</v>
      </c>
      <c r="P22" s="65" t="str">
        <f>IF(ISERROR(MEDIAN(P10:P19)),"NA",MEDIAN(P10:P19))</f>
        <v>NA</v>
      </c>
      <c r="Q22" s="69" t="str">
        <f>IF(ISERROR(MEDIAN(Q10:Q19)),"NA",MEDIAN(Q10:Q19))</f>
        <v>NA</v>
      </c>
      <c r="R22" s="69" t="str">
        <f>IF(ISERROR(MEDIAN(R10:R19)),"NA",MEDIAN(R10:R19))</f>
        <v>NA</v>
      </c>
      <c r="S22" s="69" t="str">
        <f>IF(ISERROR(MEDIAN(S10:S19)),"NA",MEDIAN(S10:S19))</f>
        <v>NA</v>
      </c>
      <c r="T22" s="2"/>
      <c r="U22" s="26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2.75" customHeight="1" x14ac:dyDescent="0.2">
      <c r="A23" s="2"/>
      <c r="B23" s="70"/>
      <c r="C23" s="2"/>
      <c r="D23" s="2"/>
      <c r="E23" s="2"/>
      <c r="F23" s="2"/>
      <c r="G23" s="70"/>
      <c r="H23" s="70"/>
      <c r="I23" s="71"/>
      <c r="J23" s="72"/>
      <c r="K23" s="71"/>
      <c r="L23" s="73"/>
      <c r="M23" s="74"/>
      <c r="N23" s="73"/>
      <c r="O23" s="71"/>
      <c r="P23" s="75"/>
      <c r="Q23" s="74"/>
      <c r="R23" s="74"/>
      <c r="S23" s="74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</row>
    <row r="24" spans="1:33" ht="12.75" customHeight="1" x14ac:dyDescent="0.2">
      <c r="A24" s="2"/>
      <c r="B24" s="64" t="s">
        <v>33</v>
      </c>
      <c r="C24" s="65"/>
      <c r="D24" s="65"/>
      <c r="E24" s="65"/>
      <c r="F24" s="65"/>
      <c r="G24" s="64"/>
      <c r="H24" s="64"/>
      <c r="I24" s="66">
        <f>+MAX(I10:I19)</f>
        <v>0</v>
      </c>
      <c r="J24" s="67">
        <f>+MAX(J10:J19)</f>
        <v>0</v>
      </c>
      <c r="K24" s="66">
        <f>+MAX(K10:K19)</f>
        <v>0</v>
      </c>
      <c r="L24" s="68"/>
      <c r="M24" s="69">
        <f>+MAX(M10:M19)</f>
        <v>0</v>
      </c>
      <c r="N24" s="68"/>
      <c r="O24" s="66">
        <f>+MAX(O10:O19)</f>
        <v>0</v>
      </c>
      <c r="P24" s="65"/>
      <c r="Q24" s="69">
        <f>+MAX(Q10:Q19)</f>
        <v>0</v>
      </c>
      <c r="R24" s="69">
        <f>+MAX(R10:R19)</f>
        <v>0</v>
      </c>
      <c r="S24" s="69">
        <f>+MAX(S10:S19)</f>
        <v>0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2.75" customHeight="1" x14ac:dyDescent="0.2">
      <c r="A25" s="2"/>
      <c r="B25" s="64" t="s">
        <v>34</v>
      </c>
      <c r="C25" s="65"/>
      <c r="D25" s="65"/>
      <c r="E25" s="65"/>
      <c r="F25" s="65"/>
      <c r="G25" s="64"/>
      <c r="H25" s="64"/>
      <c r="I25" s="66">
        <f>+MIN(I10:I19)</f>
        <v>0</v>
      </c>
      <c r="J25" s="76">
        <f>+MIN(J10:J19)</f>
        <v>0</v>
      </c>
      <c r="K25" s="66">
        <f>+MIN(K10:K19)</f>
        <v>0</v>
      </c>
      <c r="L25" s="68"/>
      <c r="M25" s="69">
        <f>+MIN(M10:M19)</f>
        <v>0</v>
      </c>
      <c r="N25" s="68"/>
      <c r="O25" s="66">
        <f>+MIN(O10:O19)</f>
        <v>0</v>
      </c>
      <c r="P25" s="65"/>
      <c r="Q25" s="69">
        <f>+MIN(Q10:Q19)</f>
        <v>0</v>
      </c>
      <c r="R25" s="69">
        <f>+MIN(R10:R19)</f>
        <v>0</v>
      </c>
      <c r="S25" s="69">
        <f>+MIN(S10:S19)</f>
        <v>0</v>
      </c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</row>
    <row r="26" spans="1:33" ht="3.75" customHeight="1" x14ac:dyDescent="0.2">
      <c r="A26" s="2"/>
      <c r="B26" s="2"/>
      <c r="C26" s="2"/>
      <c r="D26" s="2"/>
      <c r="E26" s="2"/>
      <c r="F26" s="70"/>
      <c r="G26" s="70"/>
      <c r="H26" s="70"/>
      <c r="I26" s="75"/>
      <c r="J26" s="71"/>
      <c r="K26" s="71"/>
      <c r="L26" s="73"/>
      <c r="M26" s="74"/>
      <c r="N26" s="73"/>
      <c r="O26" s="71"/>
      <c r="P26" s="75"/>
      <c r="Q26" s="74"/>
      <c r="R26" s="74"/>
      <c r="S26" s="74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2.75" customHeight="1" x14ac:dyDescent="0.2">
      <c r="A27" s="2"/>
      <c r="B27" s="77"/>
      <c r="C27" s="77"/>
      <c r="D27" s="2"/>
      <c r="E27" s="2"/>
      <c r="F27" s="78"/>
      <c r="G27" s="78"/>
      <c r="H27" s="78"/>
      <c r="I27" s="2"/>
      <c r="J27" s="79"/>
      <c r="K27" s="80"/>
      <c r="L27" s="80"/>
      <c r="M27" s="81"/>
      <c r="N27" s="80"/>
      <c r="O27" s="80"/>
      <c r="P27" s="75"/>
      <c r="Q27" s="81"/>
      <c r="R27" s="81"/>
      <c r="S27" s="81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</row>
    <row r="28" spans="1:33" ht="12.75" customHeight="1" x14ac:dyDescent="0.2">
      <c r="A28" s="2"/>
      <c r="B28" s="82" t="s">
        <v>35</v>
      </c>
      <c r="C28" s="2"/>
      <c r="D28" s="2"/>
      <c r="E28" s="2"/>
      <c r="F28" s="78"/>
      <c r="G28" s="78"/>
      <c r="H28" s="78"/>
      <c r="I28" s="2"/>
      <c r="J28" s="83"/>
      <c r="K28" s="83"/>
      <c r="L28" s="78"/>
      <c r="M28" s="84"/>
      <c r="N28" s="78"/>
      <c r="O28" s="78"/>
      <c r="P28" s="2"/>
      <c r="Q28" s="84"/>
      <c r="R28" s="84"/>
      <c r="S28" s="84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2.75" customHeight="1" x14ac:dyDescent="0.2">
      <c r="A29" s="2"/>
      <c r="B29" s="2"/>
      <c r="C29" s="2"/>
      <c r="D29" s="26"/>
      <c r="E29" s="2"/>
      <c r="F29" s="78"/>
      <c r="G29" s="78"/>
      <c r="H29" s="78"/>
      <c r="I29" s="2"/>
      <c r="J29" s="2"/>
      <c r="K29" s="78"/>
      <c r="L29" s="78"/>
      <c r="M29" s="84"/>
      <c r="N29" s="78"/>
      <c r="O29" s="78"/>
      <c r="P29" s="2"/>
      <c r="Q29" s="84"/>
      <c r="R29" s="84"/>
      <c r="S29" s="84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</row>
    <row r="30" spans="1:33" ht="12.75" customHeight="1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61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2.75" customHeight="1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</row>
    <row r="32" spans="1:33" ht="12.75" customHeight="1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2.75" customHeight="1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</row>
    <row r="34" spans="1:33" ht="12.75" customHeight="1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2.75" customHeight="1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</row>
    <row r="36" spans="1:33" ht="12.75" customHeight="1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2.75" customHeight="1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</row>
    <row r="38" spans="1:33" ht="12.75" customHeight="1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2.75" customHeight="1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</row>
    <row r="40" spans="1:33" ht="12.75" customHeight="1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2.75" customHeight="1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</row>
    <row r="42" spans="1:33" ht="12.75" customHeight="1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2.75" customHeight="1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</row>
    <row r="44" spans="1:33" ht="12.75" customHeight="1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2.75" customHeight="1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</row>
    <row r="46" spans="1:33" ht="12.75" customHeight="1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2.75" customHeight="1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</row>
    <row r="48" spans="1:33" ht="12.75" customHeight="1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2.75" customHeight="1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</row>
    <row r="50" spans="1:33" ht="12.75" customHeight="1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2.75" customHeight="1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</row>
    <row r="52" spans="1:33" ht="12.75" customHeight="1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2.75" customHeight="1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</row>
    <row r="54" spans="1:33" ht="12.75" customHeight="1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2.75" customHeight="1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</row>
    <row r="56" spans="1:33" ht="12.75" customHeight="1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2.75" customHeight="1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</row>
    <row r="58" spans="1:33" ht="12.75" customHeight="1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2.75" customHeight="1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</row>
    <row r="60" spans="1:33" ht="12.75" customHeight="1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2.75" customHeight="1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</row>
    <row r="62" spans="1:33" ht="12.75" customHeight="1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2.75" customHeight="1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</row>
    <row r="64" spans="1:33" ht="12.75" customHeight="1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</row>
    <row r="66" spans="1:33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2.75" customHeight="1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</row>
    <row r="68" spans="1:33" ht="12.75" customHeight="1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</row>
    <row r="70" spans="1:33" ht="12.75" customHeight="1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</row>
    <row r="72" spans="1:33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</row>
    <row r="74" spans="1:33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</row>
    <row r="76" spans="1:33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</row>
    <row r="78" spans="1:33" ht="12.75" customHeight="1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</row>
    <row r="79" spans="1:33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</row>
    <row r="80" spans="1:33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</row>
    <row r="81" spans="1:33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</row>
    <row r="82" spans="1:33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</row>
    <row r="83" spans="1:33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</row>
    <row r="84" spans="1:33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</row>
    <row r="85" spans="1:33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</row>
    <row r="86" spans="1:33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</row>
    <row r="87" spans="1:33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</row>
    <row r="88" spans="1:33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</row>
    <row r="89" spans="1:33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</row>
    <row r="90" spans="1:33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</row>
    <row r="91" spans="1:33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</row>
    <row r="92" spans="1:33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</row>
    <row r="93" spans="1:33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</row>
    <row r="94" spans="1:33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</row>
    <row r="95" spans="1:33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</row>
    <row r="96" spans="1:33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</row>
    <row r="97" spans="1:33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</row>
    <row r="98" spans="1:33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</row>
    <row r="99" spans="1:33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</row>
    <row r="100" spans="1:33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</row>
    <row r="101" spans="1:33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</row>
    <row r="102" spans="1:33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</row>
    <row r="103" spans="1:33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</row>
    <row r="104" spans="1:33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</row>
    <row r="105" spans="1:33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</row>
    <row r="106" spans="1:33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</row>
    <row r="107" spans="1:33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</row>
    <row r="108" spans="1:33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</row>
    <row r="109" spans="1:33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</row>
    <row r="110" spans="1:33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</row>
    <row r="111" spans="1:33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</row>
    <row r="112" spans="1:33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</row>
    <row r="113" spans="1:33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</row>
    <row r="114" spans="1:33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</row>
    <row r="115" spans="1:33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</row>
    <row r="116" spans="1:33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</row>
    <row r="117" spans="1:33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</row>
    <row r="118" spans="1:33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</row>
    <row r="119" spans="1:33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</row>
    <row r="120" spans="1:33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</row>
    <row r="121" spans="1:33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</row>
    <row r="122" spans="1:33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</row>
    <row r="123" spans="1:33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</row>
    <row r="124" spans="1:33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</row>
    <row r="125" spans="1:33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</row>
    <row r="126" spans="1:33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</row>
    <row r="127" spans="1:33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</row>
    <row r="128" spans="1:33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</row>
    <row r="129" spans="1:33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</row>
    <row r="130" spans="1:33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</row>
    <row r="131" spans="1:33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</row>
    <row r="132" spans="1:33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</row>
    <row r="133" spans="1:33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</row>
    <row r="134" spans="1:33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</row>
    <row r="135" spans="1:33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</row>
    <row r="136" spans="1:33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</row>
    <row r="137" spans="1:33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</row>
    <row r="138" spans="1:33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</row>
    <row r="139" spans="1:33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</row>
    <row r="140" spans="1:33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</row>
    <row r="141" spans="1:33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</row>
    <row r="142" spans="1:33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</row>
    <row r="143" spans="1:33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</row>
    <row r="144" spans="1:33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</row>
    <row r="145" spans="1:33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</row>
    <row r="146" spans="1:33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</row>
    <row r="147" spans="1:33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</row>
    <row r="148" spans="1:33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</row>
    <row r="149" spans="1:33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</row>
    <row r="150" spans="1:33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</row>
    <row r="151" spans="1:33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</row>
    <row r="152" spans="1:33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</row>
    <row r="153" spans="1:33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</row>
    <row r="154" spans="1:33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</row>
    <row r="155" spans="1:33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</row>
    <row r="156" spans="1:33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</row>
    <row r="157" spans="1:33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</row>
    <row r="158" spans="1:33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</row>
    <row r="159" spans="1:33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</row>
    <row r="160" spans="1:33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</row>
    <row r="161" spans="1:33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</row>
    <row r="162" spans="1:33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</row>
    <row r="163" spans="1:33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</row>
    <row r="164" spans="1:33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</row>
    <row r="165" spans="1:33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</row>
    <row r="166" spans="1:33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</row>
    <row r="167" spans="1:33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</row>
    <row r="168" spans="1:33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</row>
    <row r="169" spans="1:33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</row>
    <row r="170" spans="1:33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</row>
    <row r="171" spans="1:33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</row>
    <row r="172" spans="1:33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</row>
    <row r="173" spans="1:33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</row>
    <row r="174" spans="1:33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</row>
    <row r="175" spans="1:33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</row>
    <row r="176" spans="1:33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</row>
    <row r="177" spans="1:33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</row>
    <row r="178" spans="1:33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</row>
    <row r="179" spans="1:33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</row>
    <row r="180" spans="1:33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</row>
    <row r="181" spans="1:33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</row>
    <row r="182" spans="1:33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</row>
    <row r="183" spans="1:33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</row>
    <row r="184" spans="1:33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</row>
    <row r="185" spans="1:33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</row>
    <row r="186" spans="1:33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</row>
    <row r="187" spans="1:33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</row>
    <row r="188" spans="1:33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</row>
    <row r="189" spans="1:33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</row>
    <row r="190" spans="1:33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</row>
    <row r="191" spans="1:33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</row>
    <row r="192" spans="1:33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</row>
    <row r="193" spans="1:33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</row>
    <row r="194" spans="1:33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</row>
    <row r="195" spans="1:33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</row>
    <row r="196" spans="1:33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</row>
    <row r="197" spans="1:33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</row>
    <row r="198" spans="1:33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</row>
    <row r="199" spans="1:33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</row>
    <row r="200" spans="1:33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</row>
    <row r="201" spans="1:33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</row>
    <row r="202" spans="1:33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  <row r="274" spans="1:33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</row>
    <row r="275" spans="1:33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</row>
    <row r="276" spans="1:33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</row>
    <row r="277" spans="1:33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</row>
    <row r="278" spans="1:33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</row>
    <row r="279" spans="1:33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</row>
    <row r="280" spans="1:33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</row>
    <row r="281" spans="1:33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</row>
    <row r="282" spans="1:33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</row>
    <row r="283" spans="1:33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</row>
    <row r="284" spans="1:33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</row>
    <row r="285" spans="1:33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</row>
    <row r="286" spans="1:33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</row>
    <row r="287" spans="1:33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</row>
    <row r="288" spans="1:33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</row>
    <row r="289" spans="1:33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</row>
    <row r="290" spans="1:33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</row>
    <row r="291" spans="1:33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</row>
    <row r="292" spans="1:33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</row>
    <row r="293" spans="1:33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</row>
    <row r="294" spans="1:33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</row>
    <row r="295" spans="1:33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</row>
    <row r="296" spans="1:33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</row>
    <row r="297" spans="1:33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</row>
    <row r="298" spans="1:33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</row>
    <row r="299" spans="1:33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</row>
    <row r="300" spans="1:33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</row>
    <row r="301" spans="1:33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</row>
    <row r="302" spans="1:33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</row>
    <row r="303" spans="1:33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</row>
    <row r="304" spans="1:33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</row>
    <row r="305" spans="1:33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</row>
    <row r="306" spans="1:33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</row>
    <row r="307" spans="1:33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</row>
    <row r="308" spans="1:33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</row>
    <row r="309" spans="1:33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</row>
    <row r="310" spans="1:33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</row>
    <row r="311" spans="1:33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</row>
    <row r="312" spans="1:33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</row>
    <row r="313" spans="1:33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</row>
    <row r="314" spans="1:33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</row>
    <row r="315" spans="1:33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</row>
    <row r="316" spans="1:33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</row>
    <row r="317" spans="1:33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</row>
    <row r="318" spans="1:33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</row>
    <row r="319" spans="1:33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</row>
    <row r="320" spans="1:33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</row>
    <row r="321" spans="1:33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</row>
    <row r="322" spans="1:33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</row>
    <row r="323" spans="1:33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</row>
    <row r="324" spans="1:33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</row>
    <row r="325" spans="1:33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</row>
    <row r="326" spans="1:33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</row>
    <row r="327" spans="1:33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</row>
    <row r="328" spans="1:33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</row>
    <row r="329" spans="1:33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</row>
    <row r="330" spans="1:33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</row>
    <row r="331" spans="1:33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</row>
    <row r="332" spans="1:33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</row>
    <row r="333" spans="1:33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</row>
    <row r="334" spans="1:33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</row>
    <row r="335" spans="1:33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</row>
    <row r="336" spans="1:33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</row>
    <row r="337" spans="1:33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</row>
    <row r="338" spans="1:33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</row>
    <row r="339" spans="1:33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</row>
    <row r="340" spans="1:33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</row>
    <row r="341" spans="1:33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</row>
    <row r="342" spans="1:33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</row>
    <row r="343" spans="1:33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</row>
    <row r="344" spans="1:33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</row>
    <row r="345" spans="1:33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</row>
    <row r="346" spans="1:33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</row>
    <row r="347" spans="1:33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</row>
    <row r="348" spans="1:33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</row>
    <row r="349" spans="1:33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</row>
    <row r="350" spans="1:33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</row>
    <row r="351" spans="1:33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</row>
    <row r="352" spans="1:33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</row>
    <row r="353" spans="1:33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</row>
    <row r="354" spans="1:33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</row>
    <row r="355" spans="1:33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</row>
    <row r="356" spans="1:33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</row>
    <row r="357" spans="1:33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</row>
    <row r="358" spans="1:33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</row>
    <row r="359" spans="1:33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</row>
    <row r="360" spans="1:33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</row>
    <row r="361" spans="1:33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</row>
    <row r="362" spans="1:33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</row>
    <row r="363" spans="1:33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</row>
    <row r="364" spans="1:33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</row>
    <row r="365" spans="1:33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</row>
    <row r="366" spans="1:33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</row>
    <row r="367" spans="1:33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</row>
    <row r="368" spans="1:33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</row>
    <row r="369" spans="1:33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</row>
    <row r="370" spans="1:33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</row>
    <row r="371" spans="1:33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</row>
    <row r="372" spans="1:33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</row>
    <row r="373" spans="1:33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</row>
    <row r="374" spans="1:33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</row>
    <row r="375" spans="1:33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</row>
    <row r="376" spans="1:33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</row>
    <row r="377" spans="1:33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</row>
    <row r="378" spans="1:33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</row>
    <row r="379" spans="1:33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</row>
    <row r="380" spans="1:33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</row>
    <row r="381" spans="1:33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</row>
    <row r="382" spans="1:33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</row>
    <row r="383" spans="1:33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</row>
    <row r="384" spans="1:33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</row>
    <row r="385" spans="1:33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</row>
    <row r="386" spans="1:33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</row>
    <row r="387" spans="1:33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</row>
    <row r="388" spans="1:33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</row>
    <row r="389" spans="1:33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</row>
    <row r="390" spans="1:33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</row>
    <row r="391" spans="1:33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</row>
    <row r="392" spans="1:33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</row>
    <row r="393" spans="1:33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</row>
    <row r="394" spans="1:33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</row>
    <row r="395" spans="1:33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</row>
    <row r="396" spans="1:33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</row>
    <row r="397" spans="1:33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</row>
    <row r="398" spans="1:33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</row>
    <row r="399" spans="1:33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</row>
    <row r="400" spans="1:33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</row>
    <row r="401" spans="1:33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</row>
    <row r="402" spans="1:33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</row>
    <row r="403" spans="1:33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</row>
    <row r="404" spans="1:33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</row>
    <row r="405" spans="1:33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</row>
    <row r="406" spans="1:33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</row>
    <row r="407" spans="1:33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</row>
    <row r="408" spans="1:33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</row>
    <row r="409" spans="1:33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</row>
    <row r="410" spans="1:33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</row>
    <row r="411" spans="1:33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</row>
    <row r="412" spans="1:33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</row>
    <row r="413" spans="1:33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</row>
    <row r="414" spans="1:33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</row>
    <row r="415" spans="1:33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</row>
    <row r="416" spans="1:33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</row>
    <row r="417" spans="1:33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</row>
    <row r="418" spans="1:33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</row>
    <row r="419" spans="1:33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</row>
    <row r="420" spans="1:33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</row>
    <row r="421" spans="1:33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</row>
    <row r="422" spans="1:33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</row>
    <row r="423" spans="1:33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</row>
    <row r="424" spans="1:33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</row>
    <row r="425" spans="1:33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</row>
    <row r="426" spans="1:33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</row>
    <row r="427" spans="1:33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</row>
    <row r="428" spans="1:33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</row>
    <row r="429" spans="1:33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</row>
    <row r="430" spans="1:33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</row>
    <row r="431" spans="1:33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</row>
    <row r="432" spans="1:33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</row>
    <row r="433" spans="1:33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</row>
    <row r="434" spans="1:33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</row>
    <row r="435" spans="1:33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</row>
    <row r="436" spans="1:33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</row>
    <row r="437" spans="1:33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</row>
    <row r="438" spans="1:33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</row>
    <row r="439" spans="1:33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</row>
    <row r="440" spans="1:33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</row>
    <row r="441" spans="1:33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</row>
    <row r="442" spans="1:33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</row>
    <row r="443" spans="1:33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</row>
    <row r="444" spans="1:33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</row>
    <row r="445" spans="1:33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</row>
    <row r="446" spans="1:33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</row>
    <row r="447" spans="1:33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</row>
    <row r="448" spans="1:33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</row>
    <row r="449" spans="1:33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</row>
    <row r="450" spans="1:33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</row>
    <row r="451" spans="1:33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</row>
    <row r="452" spans="1:33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</row>
    <row r="453" spans="1:33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</row>
    <row r="454" spans="1:33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</row>
    <row r="455" spans="1:33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</row>
    <row r="456" spans="1:33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</row>
    <row r="457" spans="1:33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</row>
    <row r="458" spans="1:33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</row>
    <row r="459" spans="1:33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</row>
    <row r="460" spans="1:33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</row>
    <row r="461" spans="1:33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</row>
    <row r="462" spans="1:33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</row>
    <row r="463" spans="1:33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</row>
    <row r="464" spans="1:33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</row>
    <row r="465" spans="1:33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</row>
    <row r="466" spans="1:33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</row>
    <row r="467" spans="1:33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</row>
    <row r="468" spans="1:33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</row>
    <row r="469" spans="1:33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</row>
    <row r="470" spans="1:33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</row>
    <row r="471" spans="1:33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</row>
    <row r="472" spans="1:33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</row>
    <row r="473" spans="1:33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</row>
    <row r="474" spans="1:33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</row>
    <row r="475" spans="1:33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</row>
    <row r="476" spans="1:33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</row>
    <row r="477" spans="1:33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</row>
    <row r="478" spans="1:33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</row>
    <row r="479" spans="1:33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</row>
    <row r="480" spans="1:33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</row>
    <row r="481" spans="1:33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</row>
    <row r="482" spans="1:33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</row>
    <row r="483" spans="1:33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</row>
    <row r="484" spans="1:33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</row>
    <row r="485" spans="1:33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</row>
    <row r="486" spans="1:33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</row>
    <row r="487" spans="1:33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</row>
    <row r="488" spans="1:33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</row>
    <row r="489" spans="1:33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</row>
    <row r="490" spans="1:33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</row>
    <row r="491" spans="1:33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</row>
    <row r="492" spans="1:33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</row>
    <row r="493" spans="1:33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</row>
    <row r="494" spans="1:33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</row>
    <row r="495" spans="1:33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</row>
    <row r="496" spans="1:33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</row>
    <row r="497" spans="1:33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</row>
    <row r="498" spans="1:33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</row>
    <row r="499" spans="1:33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</row>
    <row r="500" spans="1:33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</row>
    <row r="501" spans="1:33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</row>
    <row r="502" spans="1:33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</row>
    <row r="503" spans="1:33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</row>
    <row r="504" spans="1:33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</row>
    <row r="505" spans="1:33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</row>
    <row r="506" spans="1:33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</row>
    <row r="507" spans="1:33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</row>
    <row r="508" spans="1:33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</row>
    <row r="509" spans="1:33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</row>
    <row r="510" spans="1:33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</row>
    <row r="511" spans="1:33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</row>
    <row r="512" spans="1:33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</row>
    <row r="513" spans="1:33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</row>
    <row r="514" spans="1:33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</row>
    <row r="515" spans="1:33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</row>
    <row r="516" spans="1:33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</row>
    <row r="517" spans="1:33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</row>
    <row r="518" spans="1:33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</row>
    <row r="519" spans="1:33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</row>
    <row r="520" spans="1:33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</row>
    <row r="521" spans="1:33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</row>
    <row r="522" spans="1:33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</row>
    <row r="523" spans="1:33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</row>
    <row r="524" spans="1:33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</row>
    <row r="525" spans="1:33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</row>
    <row r="526" spans="1:33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</row>
    <row r="527" spans="1:33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</row>
    <row r="528" spans="1:33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</row>
    <row r="529" spans="1:33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</row>
    <row r="530" spans="1:33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</row>
    <row r="531" spans="1:33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</row>
    <row r="532" spans="1:33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</row>
    <row r="533" spans="1:33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</row>
    <row r="534" spans="1:33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</row>
    <row r="535" spans="1:33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</row>
    <row r="536" spans="1:33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</row>
    <row r="537" spans="1:33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</row>
    <row r="538" spans="1:33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</row>
    <row r="539" spans="1:33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</row>
    <row r="540" spans="1:33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</row>
    <row r="541" spans="1:33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</row>
    <row r="542" spans="1:33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</row>
    <row r="543" spans="1:33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</row>
    <row r="544" spans="1:33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</row>
    <row r="545" spans="1:33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</row>
    <row r="546" spans="1:33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</row>
    <row r="547" spans="1:33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</row>
    <row r="548" spans="1:33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</row>
    <row r="549" spans="1:33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</row>
    <row r="550" spans="1:33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</row>
    <row r="551" spans="1:33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</row>
    <row r="552" spans="1:33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</row>
    <row r="553" spans="1:33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</row>
    <row r="554" spans="1:33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</row>
    <row r="555" spans="1:33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</row>
    <row r="556" spans="1:33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</row>
    <row r="557" spans="1:33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</row>
    <row r="558" spans="1:33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</row>
    <row r="559" spans="1:33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</row>
    <row r="560" spans="1:33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</row>
    <row r="561" spans="1:33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</row>
    <row r="562" spans="1:33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</row>
    <row r="563" spans="1:33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</row>
    <row r="564" spans="1:33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</row>
    <row r="565" spans="1:33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</row>
    <row r="566" spans="1:33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</row>
    <row r="567" spans="1:33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</row>
    <row r="568" spans="1:33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</row>
    <row r="569" spans="1:33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</row>
    <row r="570" spans="1:33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</row>
    <row r="571" spans="1:33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</row>
    <row r="572" spans="1:33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</row>
    <row r="573" spans="1:33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</row>
    <row r="574" spans="1:33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</row>
    <row r="575" spans="1:33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</row>
    <row r="576" spans="1:33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</row>
    <row r="577" spans="1:33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</row>
    <row r="578" spans="1:33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</row>
    <row r="579" spans="1:33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</row>
    <row r="580" spans="1:33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</row>
    <row r="581" spans="1:33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</row>
    <row r="582" spans="1:33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</row>
    <row r="583" spans="1:33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</row>
    <row r="584" spans="1:33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</row>
    <row r="585" spans="1:33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</row>
    <row r="586" spans="1:33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</row>
    <row r="587" spans="1:33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</row>
    <row r="588" spans="1:33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</row>
    <row r="589" spans="1:33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</row>
    <row r="590" spans="1:33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</row>
    <row r="591" spans="1:33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</row>
    <row r="592" spans="1:33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</row>
    <row r="593" spans="1:33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</row>
    <row r="594" spans="1:33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</row>
    <row r="595" spans="1:33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</row>
    <row r="596" spans="1:33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</row>
    <row r="597" spans="1:33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</row>
    <row r="598" spans="1:33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</row>
    <row r="599" spans="1:33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</row>
    <row r="600" spans="1:33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</row>
    <row r="601" spans="1:33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</row>
    <row r="602" spans="1:33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</row>
    <row r="603" spans="1:33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</row>
    <row r="604" spans="1:33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</row>
    <row r="605" spans="1:33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</row>
    <row r="606" spans="1:33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</row>
    <row r="607" spans="1:33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</row>
    <row r="608" spans="1:33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</row>
    <row r="609" spans="1:33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</row>
    <row r="610" spans="1:33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</row>
    <row r="611" spans="1:33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</row>
    <row r="612" spans="1:33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</row>
    <row r="613" spans="1:33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</row>
    <row r="614" spans="1:33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</row>
    <row r="615" spans="1:33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</row>
    <row r="616" spans="1:33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</row>
    <row r="617" spans="1:33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</row>
    <row r="618" spans="1:33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</row>
    <row r="619" spans="1:33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</row>
    <row r="620" spans="1:33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</row>
    <row r="621" spans="1:33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</row>
    <row r="622" spans="1:33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</row>
    <row r="623" spans="1:33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</row>
    <row r="624" spans="1:33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</row>
    <row r="625" spans="1:33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</row>
    <row r="626" spans="1:33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</row>
    <row r="627" spans="1:33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</row>
    <row r="628" spans="1:33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</row>
    <row r="629" spans="1:33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</row>
    <row r="630" spans="1:33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</row>
    <row r="631" spans="1:33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</row>
    <row r="632" spans="1:33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</row>
    <row r="633" spans="1:33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</row>
    <row r="634" spans="1:33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</row>
    <row r="635" spans="1:33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</row>
    <row r="636" spans="1:33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</row>
    <row r="637" spans="1:33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</row>
    <row r="638" spans="1:33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</row>
    <row r="639" spans="1:33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</row>
    <row r="640" spans="1:33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</row>
    <row r="641" spans="1:33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</row>
    <row r="642" spans="1:33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</row>
    <row r="643" spans="1:33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</row>
    <row r="644" spans="1:33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</row>
    <row r="645" spans="1:33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</row>
    <row r="646" spans="1:33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</row>
    <row r="647" spans="1:33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</row>
    <row r="648" spans="1:33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</row>
    <row r="649" spans="1:33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</row>
    <row r="650" spans="1:33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</row>
    <row r="651" spans="1:33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</row>
    <row r="652" spans="1:33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</row>
    <row r="653" spans="1:33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</row>
    <row r="654" spans="1:33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</row>
    <row r="655" spans="1:33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</row>
    <row r="656" spans="1:33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</row>
    <row r="657" spans="1:33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</row>
    <row r="658" spans="1:33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</row>
    <row r="659" spans="1:33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</row>
    <row r="660" spans="1:33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</row>
    <row r="661" spans="1:33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</row>
    <row r="662" spans="1:33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</row>
    <row r="663" spans="1:33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</row>
    <row r="664" spans="1:33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</row>
    <row r="665" spans="1:33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</row>
    <row r="666" spans="1:33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</row>
    <row r="667" spans="1:33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</row>
    <row r="668" spans="1:33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</row>
    <row r="669" spans="1:33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</row>
    <row r="670" spans="1:33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</row>
    <row r="671" spans="1:33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</row>
    <row r="672" spans="1:33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</row>
    <row r="673" spans="1:33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</row>
    <row r="674" spans="1:33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</row>
    <row r="675" spans="1:33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</row>
    <row r="676" spans="1:33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</row>
    <row r="677" spans="1:33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</row>
    <row r="678" spans="1:33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</row>
    <row r="679" spans="1:33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</row>
    <row r="680" spans="1:33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</row>
    <row r="681" spans="1:33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</row>
    <row r="682" spans="1:33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</row>
    <row r="683" spans="1:33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</row>
    <row r="684" spans="1:33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</row>
    <row r="685" spans="1:33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</row>
    <row r="686" spans="1:33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</row>
    <row r="687" spans="1:33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</row>
    <row r="688" spans="1:33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</row>
    <row r="689" spans="1:33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</row>
    <row r="690" spans="1:33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</row>
    <row r="691" spans="1:33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</row>
    <row r="692" spans="1:33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</row>
    <row r="693" spans="1:33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</row>
    <row r="694" spans="1:33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</row>
    <row r="695" spans="1:33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</row>
    <row r="696" spans="1:33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</row>
    <row r="697" spans="1:33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</row>
    <row r="698" spans="1:33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</row>
    <row r="699" spans="1:33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</row>
    <row r="700" spans="1:33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</row>
    <row r="701" spans="1:33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</row>
    <row r="702" spans="1:33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</row>
    <row r="703" spans="1:33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</row>
    <row r="704" spans="1:33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</row>
    <row r="705" spans="1:33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</row>
    <row r="706" spans="1:33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</row>
    <row r="707" spans="1:33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</row>
    <row r="708" spans="1:33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</row>
    <row r="709" spans="1:33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</row>
    <row r="710" spans="1:33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</row>
    <row r="711" spans="1:33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</row>
    <row r="712" spans="1:33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</row>
    <row r="713" spans="1:33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</row>
    <row r="714" spans="1:33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</row>
    <row r="715" spans="1:33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</row>
    <row r="716" spans="1:33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</row>
    <row r="717" spans="1:33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</row>
    <row r="718" spans="1:33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</row>
    <row r="719" spans="1:33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</row>
    <row r="720" spans="1:33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</row>
    <row r="721" spans="1:33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</row>
    <row r="722" spans="1:33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</row>
    <row r="723" spans="1:33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</row>
    <row r="724" spans="1:33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</row>
    <row r="725" spans="1:33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</row>
    <row r="726" spans="1:33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</row>
    <row r="727" spans="1:33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</row>
    <row r="728" spans="1:33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</row>
    <row r="729" spans="1:33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</row>
    <row r="730" spans="1:33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</row>
    <row r="731" spans="1:33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</row>
    <row r="732" spans="1:33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</row>
    <row r="733" spans="1:33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</row>
    <row r="734" spans="1:33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</row>
    <row r="735" spans="1:33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</row>
    <row r="736" spans="1:33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</row>
    <row r="737" spans="1:33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</row>
    <row r="738" spans="1:33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</row>
    <row r="739" spans="1:33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</row>
    <row r="740" spans="1:33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</row>
    <row r="741" spans="1:33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</row>
    <row r="742" spans="1:33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</row>
    <row r="743" spans="1:33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</row>
    <row r="744" spans="1:33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</row>
    <row r="745" spans="1:33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</row>
    <row r="746" spans="1:33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</row>
    <row r="747" spans="1:33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</row>
    <row r="748" spans="1:33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</row>
    <row r="749" spans="1:33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</row>
    <row r="750" spans="1:33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</row>
    <row r="751" spans="1:33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</row>
    <row r="752" spans="1:33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</row>
    <row r="753" spans="1:33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</row>
    <row r="754" spans="1:33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</row>
    <row r="755" spans="1:33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</row>
    <row r="756" spans="1:33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</row>
    <row r="757" spans="1:33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</row>
    <row r="758" spans="1:33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</row>
    <row r="759" spans="1:33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</row>
    <row r="760" spans="1:33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</row>
    <row r="761" spans="1:33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</row>
    <row r="762" spans="1:33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</row>
    <row r="763" spans="1:33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</row>
    <row r="764" spans="1:33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</row>
    <row r="765" spans="1:33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</row>
    <row r="766" spans="1:33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</row>
    <row r="767" spans="1:33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</row>
    <row r="768" spans="1:33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</row>
    <row r="769" spans="1:33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</row>
    <row r="770" spans="1:33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</row>
    <row r="771" spans="1:33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</row>
    <row r="772" spans="1:33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</row>
    <row r="773" spans="1:33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</row>
    <row r="774" spans="1:33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</row>
    <row r="775" spans="1:33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</row>
    <row r="776" spans="1:33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</row>
    <row r="777" spans="1:33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</row>
    <row r="778" spans="1:33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</row>
    <row r="779" spans="1:33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</row>
    <row r="780" spans="1:33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</row>
    <row r="781" spans="1:33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</row>
    <row r="782" spans="1:33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</row>
    <row r="783" spans="1:33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</row>
    <row r="784" spans="1:33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</row>
    <row r="785" spans="1:33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</row>
    <row r="786" spans="1:33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</row>
    <row r="787" spans="1:33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</row>
    <row r="788" spans="1:33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</row>
    <row r="789" spans="1:33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</row>
    <row r="790" spans="1:33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</row>
    <row r="791" spans="1:33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</row>
    <row r="792" spans="1:33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</row>
    <row r="793" spans="1:33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</row>
    <row r="794" spans="1:33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</row>
    <row r="795" spans="1:33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</row>
    <row r="796" spans="1:33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</row>
    <row r="797" spans="1:33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</row>
    <row r="798" spans="1:33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</row>
    <row r="799" spans="1:33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</row>
    <row r="800" spans="1:33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</row>
    <row r="801" spans="1:33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</row>
    <row r="802" spans="1:33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</row>
    <row r="803" spans="1:33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</row>
    <row r="804" spans="1:33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</row>
    <row r="805" spans="1:33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</row>
    <row r="806" spans="1:33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</row>
    <row r="807" spans="1:33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</row>
    <row r="808" spans="1:33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</row>
    <row r="809" spans="1:33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</row>
    <row r="810" spans="1:33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</row>
    <row r="811" spans="1:33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</row>
    <row r="812" spans="1:33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</row>
    <row r="813" spans="1:33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</row>
    <row r="814" spans="1:33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</row>
    <row r="815" spans="1:33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</row>
    <row r="816" spans="1:33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</row>
    <row r="817" spans="1:33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</row>
    <row r="818" spans="1:33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</row>
    <row r="819" spans="1:33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</row>
    <row r="820" spans="1:33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</row>
    <row r="821" spans="1:33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</row>
    <row r="822" spans="1:33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</row>
    <row r="823" spans="1:33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</row>
    <row r="824" spans="1:33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</row>
    <row r="825" spans="1:33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</row>
    <row r="826" spans="1:33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</row>
    <row r="827" spans="1:33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</row>
    <row r="828" spans="1:33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</row>
    <row r="829" spans="1:33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</row>
    <row r="830" spans="1:33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</row>
    <row r="831" spans="1:33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</row>
    <row r="832" spans="1:33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</row>
    <row r="833" spans="1:33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</row>
    <row r="834" spans="1:33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</row>
    <row r="835" spans="1:33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</row>
    <row r="836" spans="1:33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</row>
    <row r="837" spans="1:33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</row>
    <row r="838" spans="1:33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</row>
    <row r="839" spans="1:33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</row>
    <row r="840" spans="1:33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</row>
    <row r="841" spans="1:33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</row>
    <row r="842" spans="1:33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</row>
    <row r="843" spans="1:33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</row>
    <row r="844" spans="1:33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</row>
    <row r="845" spans="1:33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</row>
    <row r="846" spans="1:33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</row>
    <row r="847" spans="1:33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</row>
    <row r="848" spans="1:33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</row>
    <row r="849" spans="1:33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</row>
    <row r="850" spans="1:33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</row>
    <row r="851" spans="1:33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</row>
    <row r="852" spans="1:33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</row>
    <row r="853" spans="1:33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</row>
    <row r="854" spans="1:33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</row>
    <row r="855" spans="1:33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</row>
    <row r="856" spans="1:33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</row>
    <row r="857" spans="1:33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</row>
    <row r="858" spans="1:33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</row>
    <row r="859" spans="1:33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</row>
    <row r="860" spans="1:33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</row>
    <row r="861" spans="1:33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</row>
    <row r="862" spans="1:33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</row>
    <row r="863" spans="1:33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</row>
    <row r="864" spans="1:33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</row>
    <row r="865" spans="1:33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</row>
    <row r="866" spans="1:33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</row>
    <row r="867" spans="1:33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</row>
    <row r="868" spans="1:33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</row>
    <row r="869" spans="1:33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</row>
    <row r="870" spans="1:33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</row>
    <row r="871" spans="1:33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</row>
    <row r="872" spans="1:33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</row>
    <row r="873" spans="1:33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</row>
    <row r="874" spans="1:33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</row>
    <row r="875" spans="1:33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</row>
    <row r="876" spans="1:33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</row>
    <row r="877" spans="1:33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</row>
    <row r="878" spans="1:33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</row>
    <row r="879" spans="1:33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</row>
    <row r="880" spans="1:33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</row>
    <row r="881" spans="1:33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</row>
    <row r="882" spans="1:33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</row>
    <row r="883" spans="1:33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</row>
    <row r="884" spans="1:33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</row>
    <row r="885" spans="1:33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</row>
    <row r="886" spans="1:33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</row>
    <row r="887" spans="1:33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</row>
    <row r="888" spans="1:33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</row>
    <row r="889" spans="1:33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</row>
    <row r="890" spans="1:33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</row>
    <row r="891" spans="1:33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</row>
    <row r="892" spans="1:33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</row>
    <row r="893" spans="1:33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</row>
    <row r="894" spans="1:33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</row>
    <row r="895" spans="1:33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</row>
    <row r="896" spans="1:33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</row>
    <row r="897" spans="1:33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</row>
    <row r="898" spans="1:33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</row>
    <row r="899" spans="1:33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</row>
    <row r="900" spans="1:33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</row>
    <row r="901" spans="1:33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</row>
    <row r="902" spans="1:33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</row>
    <row r="903" spans="1:33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</row>
    <row r="904" spans="1:33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</row>
    <row r="905" spans="1:33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</row>
    <row r="906" spans="1:33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</row>
    <row r="907" spans="1:33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</row>
    <row r="908" spans="1:33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</row>
    <row r="909" spans="1:33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</row>
    <row r="910" spans="1:33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</row>
    <row r="911" spans="1:33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</row>
    <row r="912" spans="1:33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</row>
    <row r="913" spans="1:33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</row>
    <row r="914" spans="1:33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</row>
    <row r="915" spans="1:33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</row>
    <row r="916" spans="1:33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</row>
    <row r="917" spans="1:33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</row>
    <row r="918" spans="1:33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</row>
    <row r="919" spans="1:33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</row>
    <row r="920" spans="1:33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</row>
    <row r="921" spans="1:33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</row>
    <row r="922" spans="1:33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</row>
    <row r="923" spans="1:33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</row>
    <row r="924" spans="1:33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</row>
    <row r="925" spans="1:33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</row>
    <row r="926" spans="1:33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</row>
    <row r="927" spans="1:33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</row>
    <row r="928" spans="1:33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</row>
    <row r="929" spans="1:33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</row>
    <row r="930" spans="1:33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</row>
    <row r="931" spans="1:33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</row>
    <row r="932" spans="1:33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</row>
    <row r="933" spans="1:33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</row>
    <row r="934" spans="1:33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</row>
    <row r="935" spans="1:33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</row>
    <row r="936" spans="1:33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</row>
    <row r="937" spans="1:33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</row>
    <row r="938" spans="1:33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</row>
    <row r="939" spans="1:33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</row>
    <row r="940" spans="1:33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</row>
    <row r="941" spans="1:33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</row>
    <row r="942" spans="1:33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</row>
    <row r="943" spans="1:33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</row>
    <row r="944" spans="1:33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</row>
    <row r="945" spans="1:33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</row>
    <row r="946" spans="1:33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</row>
    <row r="947" spans="1:33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</row>
    <row r="948" spans="1:33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</row>
    <row r="949" spans="1:33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</row>
    <row r="950" spans="1:33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</row>
    <row r="951" spans="1:33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</row>
    <row r="952" spans="1:33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</row>
    <row r="953" spans="1:33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</row>
    <row r="954" spans="1:33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</row>
    <row r="955" spans="1:33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</row>
    <row r="956" spans="1:33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</row>
    <row r="957" spans="1:33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</row>
    <row r="958" spans="1:33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</row>
    <row r="959" spans="1:33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</row>
    <row r="960" spans="1:33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</row>
    <row r="961" spans="1:33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</row>
    <row r="962" spans="1:33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</row>
    <row r="963" spans="1:33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</row>
    <row r="964" spans="1:33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</row>
    <row r="965" spans="1:33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</row>
    <row r="966" spans="1:33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</row>
    <row r="967" spans="1:33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</row>
    <row r="968" spans="1:33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</row>
    <row r="969" spans="1:33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</row>
    <row r="970" spans="1:33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</row>
    <row r="971" spans="1:33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</row>
    <row r="972" spans="1:33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</row>
    <row r="973" spans="1:33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</row>
    <row r="974" spans="1:33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</row>
    <row r="975" spans="1:33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</row>
    <row r="976" spans="1:33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</row>
    <row r="977" spans="1:33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</row>
    <row r="978" spans="1:33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</row>
    <row r="979" spans="1:33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</row>
    <row r="980" spans="1:33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</row>
    <row r="981" spans="1:33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</row>
    <row r="982" spans="1:33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</row>
    <row r="983" spans="1:33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</row>
    <row r="984" spans="1:33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</row>
    <row r="985" spans="1:33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</row>
    <row r="986" spans="1:33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</row>
    <row r="987" spans="1:33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</row>
    <row r="988" spans="1:33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</row>
    <row r="989" spans="1:33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</row>
    <row r="990" spans="1:33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</row>
    <row r="991" spans="1:33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</row>
    <row r="992" spans="1:33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</row>
    <row r="993" spans="1:33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</row>
    <row r="994" spans="1:33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</row>
    <row r="995" spans="1:33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</row>
    <row r="996" spans="1:33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</row>
    <row r="997" spans="1:33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</row>
    <row r="998" spans="1:33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</row>
    <row r="999" spans="1:33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</row>
    <row r="1000" spans="1:33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</row>
  </sheetData>
  <mergeCells count="3">
    <mergeCell ref="I6:K6"/>
    <mergeCell ref="Q7:S7"/>
    <mergeCell ref="Q6:S6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by Acquirer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9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45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8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52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dataValidations count="2">
    <dataValidation type="list" allowBlank="1" showDropDown="1" showInputMessage="1" showErrorMessage="1" prompt=" - " sqref="U44" xr:uid="{00000000-0002-0000-0200-000000000000}">
      <formula1>$U$29</formula1>
    </dataValidation>
    <dataValidation type="list" allowBlank="1" showInputMessage="1" showErrorMessage="1" prompt=" - " sqref="U37" xr:uid="{00000000-0002-0000-0200-000001000000}">
      <formula1>$U$22</formula1>
    </dataValidation>
  </dataValidation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by Acquirer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9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45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8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52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dataValidations count="2">
    <dataValidation type="list" allowBlank="1" showDropDown="1" showInputMessage="1" showErrorMessage="1" prompt=" - " sqref="U44" xr:uid="{00000000-0002-0000-0300-000000000000}">
      <formula1>$U$29</formula1>
    </dataValidation>
    <dataValidation type="list" allowBlank="1" showInputMessage="1" showErrorMessage="1" prompt=" - " sqref="U37" xr:uid="{00000000-0002-0000-0300-000001000000}">
      <formula1>$U$22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showGridLines="0"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by Acquirer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9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45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8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52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dataValidations count="2">
    <dataValidation type="list" allowBlank="1" showDropDown="1" showInputMessage="1" showErrorMessage="1" prompt=" - " sqref="U44" xr:uid="{00000000-0002-0000-0400-000000000000}">
      <formula1>$U$29</formula1>
    </dataValidation>
    <dataValidation type="list" allowBlank="1" showInputMessage="1" showErrorMessage="1" prompt=" - " sqref="U37" xr:uid="{00000000-0002-0000-0400-000001000000}">
      <formula1>$U$22</formula1>
    </dataValidation>
  </dataValidation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4 by Acquirer 4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159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160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161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162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4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4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4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4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4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4 424B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4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5 by Acquirer 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163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164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165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166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5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5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5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5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5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5 424B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5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6 by Acquirer 6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167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168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169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170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6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6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6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6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6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6 424B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6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7 by Acquirer 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171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172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173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174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7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7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7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7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7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7 424B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7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8 by Acquirer 8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175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176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177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178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8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8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8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8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8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8 424B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8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9 by Acquirer 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179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180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181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182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9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9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9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9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9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9 424B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9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2.5703125" defaultRowHeight="15" customHeight="1" x14ac:dyDescent="0.2"/>
  <cols>
    <col min="1" max="1" width="0.85546875" style="190" customWidth="1"/>
    <col min="2" max="5" width="12.7109375" style="190" customWidth="1"/>
    <col min="6" max="6" width="8.7109375" style="190" customWidth="1"/>
    <col min="7" max="13" width="12.7109375" style="190" customWidth="1"/>
    <col min="14" max="14" width="8.7109375" style="190" customWidth="1"/>
    <col min="15" max="19" width="12.7109375" style="190" customWidth="1"/>
    <col min="20" max="20" width="0.85546875" style="190" customWidth="1"/>
    <col min="21" max="21" width="12.7109375" style="190" customWidth="1"/>
    <col min="22" max="26" width="8" style="190" customWidth="1"/>
  </cols>
  <sheetData>
    <row r="1" spans="1:26" ht="26.25" customHeight="1" x14ac:dyDescent="0.4">
      <c r="A1" s="85" t="str">
        <f>"Acquisition of "&amp;E7&amp;" by "&amp;E12</f>
        <v>Acquisition of Target 10 by Acquirer 10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86"/>
      <c r="Q1" s="86"/>
      <c r="R1" s="86"/>
      <c r="S1" s="86"/>
      <c r="T1" s="86"/>
      <c r="U1" s="2"/>
      <c r="V1" s="2"/>
      <c r="W1" s="2"/>
      <c r="X1" s="2"/>
      <c r="Y1" s="2"/>
      <c r="Z1" s="2"/>
    </row>
    <row r="2" spans="1:26" ht="20.25" customHeight="1" x14ac:dyDescent="0.3">
      <c r="A2" s="22" t="s">
        <v>36</v>
      </c>
      <c r="B2" s="21"/>
      <c r="C2" s="21"/>
      <c r="D2" s="21"/>
      <c r="E2" s="21"/>
      <c r="F2" s="86"/>
      <c r="G2" s="21"/>
      <c r="H2" s="21"/>
      <c r="I2" s="21"/>
      <c r="J2" s="21"/>
      <c r="K2" s="21"/>
      <c r="L2" s="21"/>
      <c r="M2" s="21"/>
      <c r="N2" s="86"/>
      <c r="O2" s="21"/>
      <c r="P2" s="86"/>
      <c r="Q2" s="86"/>
      <c r="R2" s="86"/>
      <c r="S2" s="86"/>
      <c r="T2" s="86"/>
      <c r="U2" s="2"/>
      <c r="V2" s="2"/>
      <c r="W2" s="2"/>
      <c r="X2" s="2"/>
      <c r="Y2" s="2"/>
      <c r="Z2" s="2"/>
    </row>
    <row r="3" spans="1:26" ht="12.75" customHeight="1" x14ac:dyDescent="0.2">
      <c r="A3" s="24" t="s">
        <v>37</v>
      </c>
      <c r="B3" s="21"/>
      <c r="C3" s="21"/>
      <c r="D3" s="21"/>
      <c r="E3" s="21"/>
      <c r="F3" s="86"/>
      <c r="G3" s="21"/>
      <c r="H3" s="21"/>
      <c r="I3" s="21"/>
      <c r="J3" s="21"/>
      <c r="K3" s="21"/>
      <c r="L3" s="21"/>
      <c r="M3" s="21"/>
      <c r="N3" s="86"/>
      <c r="O3" s="21"/>
      <c r="P3" s="86"/>
      <c r="Q3" s="86"/>
      <c r="R3" s="86"/>
      <c r="S3" s="86"/>
      <c r="T3" s="86"/>
      <c r="U3" s="2"/>
      <c r="V3" s="2"/>
      <c r="W3" s="2"/>
      <c r="X3" s="2"/>
      <c r="Y3" s="2"/>
      <c r="Z3" s="2"/>
    </row>
    <row r="4" spans="1:26" ht="12.75" customHeight="1" x14ac:dyDescent="0.2">
      <c r="A4" s="2"/>
      <c r="B4" s="2"/>
      <c r="C4" s="2"/>
      <c r="D4" s="2"/>
      <c r="E4" s="2"/>
      <c r="F4" s="2"/>
      <c r="G4" s="25"/>
      <c r="H4" s="25"/>
      <c r="I4" s="25"/>
      <c r="J4" s="87"/>
      <c r="K4" s="87"/>
      <c r="L4" s="87"/>
      <c r="M4" s="87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2.75" customHeight="1" x14ac:dyDescent="0.2">
      <c r="A5" s="2"/>
      <c r="B5" s="2"/>
      <c r="C5" s="2"/>
      <c r="D5" s="2"/>
      <c r="E5" s="2"/>
      <c r="F5" s="2"/>
      <c r="G5" s="25"/>
      <c r="H5" s="25"/>
      <c r="I5" s="25"/>
      <c r="J5" s="87"/>
      <c r="K5" s="87"/>
      <c r="L5" s="87"/>
      <c r="M5" s="87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" customHeight="1" x14ac:dyDescent="0.2">
      <c r="A6" s="2"/>
      <c r="B6" s="204" t="s">
        <v>38</v>
      </c>
      <c r="C6" s="200"/>
      <c r="D6" s="200"/>
      <c r="E6" s="200"/>
      <c r="F6" s="2"/>
      <c r="G6" s="204" t="s">
        <v>39</v>
      </c>
      <c r="H6" s="200"/>
      <c r="I6" s="200"/>
      <c r="J6" s="200"/>
      <c r="K6" s="200"/>
      <c r="L6" s="200"/>
      <c r="M6" s="200"/>
      <c r="N6" s="2"/>
      <c r="O6" s="204" t="s">
        <v>40</v>
      </c>
      <c r="P6" s="200"/>
      <c r="Q6" s="200"/>
      <c r="R6" s="200"/>
      <c r="S6" s="200"/>
      <c r="T6" s="2"/>
      <c r="U6" s="2"/>
      <c r="V6" s="2"/>
      <c r="W6" s="2"/>
      <c r="X6" s="2"/>
      <c r="Y6" s="2"/>
      <c r="Z6" s="2"/>
    </row>
    <row r="7" spans="1:26" ht="12.75" customHeight="1" x14ac:dyDescent="0.2">
      <c r="A7" s="2"/>
      <c r="B7" s="88" t="s">
        <v>9</v>
      </c>
      <c r="C7" s="89"/>
      <c r="D7" s="90"/>
      <c r="E7" s="91" t="s">
        <v>183</v>
      </c>
      <c r="F7" s="2"/>
      <c r="G7" s="89"/>
      <c r="H7" s="89"/>
      <c r="I7" s="89"/>
      <c r="J7" s="89"/>
      <c r="K7" s="92" t="s">
        <v>41</v>
      </c>
      <c r="L7" s="92" t="s">
        <v>42</v>
      </c>
      <c r="M7" s="89"/>
      <c r="N7" s="2"/>
      <c r="O7" s="206" t="s">
        <v>43</v>
      </c>
      <c r="P7" s="200"/>
      <c r="Q7" s="200"/>
      <c r="R7" s="200"/>
      <c r="S7" s="200"/>
      <c r="T7" s="2"/>
      <c r="U7" s="2"/>
      <c r="V7" s="2"/>
      <c r="W7" s="2"/>
      <c r="X7" s="2"/>
      <c r="Y7" s="2"/>
      <c r="Z7" s="2"/>
    </row>
    <row r="8" spans="1:26" ht="12.75" customHeight="1" x14ac:dyDescent="0.2">
      <c r="A8" s="2"/>
      <c r="B8" s="89" t="s">
        <v>44</v>
      </c>
      <c r="C8" s="89"/>
      <c r="D8" s="89"/>
      <c r="E8" s="93" t="s">
        <v>184</v>
      </c>
      <c r="F8" s="2"/>
      <c r="G8" s="89"/>
      <c r="H8" s="89"/>
      <c r="I8" s="89"/>
      <c r="J8" s="92" t="s">
        <v>46</v>
      </c>
      <c r="K8" s="92" t="s">
        <v>47</v>
      </c>
      <c r="L8" s="92" t="s">
        <v>47</v>
      </c>
      <c r="M8" s="92" t="s">
        <v>17</v>
      </c>
      <c r="N8" s="2"/>
      <c r="O8" s="200"/>
      <c r="P8" s="200"/>
      <c r="Q8" s="200"/>
      <c r="R8" s="200"/>
      <c r="S8" s="200"/>
      <c r="T8" s="2"/>
      <c r="U8" s="2"/>
      <c r="V8" s="2"/>
      <c r="W8" s="2"/>
      <c r="X8" s="2"/>
      <c r="Y8" s="2"/>
      <c r="Z8" s="2"/>
    </row>
    <row r="9" spans="1:26" ht="15" customHeight="1" x14ac:dyDescent="0.2">
      <c r="A9" s="2"/>
      <c r="B9" s="89" t="s">
        <v>48</v>
      </c>
      <c r="C9" s="89"/>
      <c r="D9" s="89"/>
      <c r="E9" s="94">
        <v>0</v>
      </c>
      <c r="F9" s="2"/>
      <c r="G9" s="207"/>
      <c r="H9" s="200"/>
      <c r="I9" s="95"/>
      <c r="J9" s="96">
        <v>0</v>
      </c>
      <c r="K9" s="96">
        <v>0</v>
      </c>
      <c r="L9" s="96">
        <v>0</v>
      </c>
      <c r="M9" s="97">
        <f>L9</f>
        <v>0</v>
      </c>
      <c r="N9" s="2"/>
      <c r="O9" s="200"/>
      <c r="P9" s="200"/>
      <c r="Q9" s="200"/>
      <c r="R9" s="200"/>
      <c r="S9" s="200"/>
      <c r="T9" s="2"/>
      <c r="U9" s="2"/>
      <c r="V9" s="2"/>
      <c r="W9" s="2"/>
      <c r="X9" s="2"/>
      <c r="Y9" s="2"/>
      <c r="Z9" s="2"/>
    </row>
    <row r="10" spans="1:26" ht="12.75" customHeight="1" x14ac:dyDescent="0.2">
      <c r="A10" s="2"/>
      <c r="B10" s="89" t="s">
        <v>49</v>
      </c>
      <c r="C10" s="89"/>
      <c r="D10" s="89"/>
      <c r="E10" s="98">
        <v>0</v>
      </c>
      <c r="F10" s="2"/>
      <c r="G10" s="88" t="s">
        <v>24</v>
      </c>
      <c r="H10" s="88"/>
      <c r="I10" s="88"/>
      <c r="J10" s="99">
        <v>0</v>
      </c>
      <c r="K10" s="100">
        <v>0</v>
      </c>
      <c r="L10" s="101">
        <v>0</v>
      </c>
      <c r="M10" s="102">
        <f>J10+L10-K10</f>
        <v>0</v>
      </c>
      <c r="N10" s="2"/>
      <c r="O10" s="200"/>
      <c r="P10" s="200"/>
      <c r="Q10" s="200"/>
      <c r="R10" s="200"/>
      <c r="S10" s="200"/>
      <c r="T10" s="2"/>
      <c r="U10" s="2"/>
      <c r="V10" s="2"/>
      <c r="W10" s="2"/>
      <c r="X10" s="2"/>
      <c r="Y10" s="2"/>
      <c r="Z10" s="2"/>
    </row>
    <row r="11" spans="1:26" ht="15" customHeight="1" x14ac:dyDescent="0.2">
      <c r="A11" s="2"/>
      <c r="B11" s="89"/>
      <c r="C11" s="89"/>
      <c r="D11" s="89"/>
      <c r="E11" s="89"/>
      <c r="F11" s="2"/>
      <c r="G11" s="89" t="s">
        <v>50</v>
      </c>
      <c r="H11" s="89"/>
      <c r="I11" s="89"/>
      <c r="J11" s="103">
        <v>0</v>
      </c>
      <c r="K11" s="104">
        <v>0</v>
      </c>
      <c r="L11" s="105">
        <v>0</v>
      </c>
      <c r="M11" s="106">
        <f>J11+L11-K11</f>
        <v>0</v>
      </c>
      <c r="N11" s="2"/>
      <c r="O11" s="200"/>
      <c r="P11" s="200"/>
      <c r="Q11" s="200"/>
      <c r="R11" s="200"/>
      <c r="S11" s="200"/>
      <c r="T11" s="2"/>
      <c r="U11" s="2"/>
      <c r="V11" s="2"/>
      <c r="W11" s="2"/>
      <c r="X11" s="2"/>
      <c r="Y11" s="2"/>
      <c r="Z11" s="2"/>
    </row>
    <row r="12" spans="1:26" ht="12.75" customHeight="1" x14ac:dyDescent="0.2">
      <c r="A12" s="2"/>
      <c r="B12" s="88" t="s">
        <v>8</v>
      </c>
      <c r="C12" s="89"/>
      <c r="D12" s="90"/>
      <c r="E12" s="91" t="s">
        <v>185</v>
      </c>
      <c r="F12" s="2"/>
      <c r="G12" s="88" t="s">
        <v>51</v>
      </c>
      <c r="H12" s="89"/>
      <c r="I12" s="89"/>
      <c r="J12" s="102">
        <f>J10-SUM(J11)</f>
        <v>0</v>
      </c>
      <c r="K12" s="107">
        <f>K10-SUM(K11)</f>
        <v>0</v>
      </c>
      <c r="L12" s="108">
        <f>L10-SUM(L11)</f>
        <v>0</v>
      </c>
      <c r="M12" s="102">
        <f>M10-SUM(M11)</f>
        <v>0</v>
      </c>
      <c r="N12" s="2"/>
      <c r="O12" s="200"/>
      <c r="P12" s="200"/>
      <c r="Q12" s="200"/>
      <c r="R12" s="200"/>
      <c r="S12" s="200"/>
      <c r="T12" s="2"/>
      <c r="U12" s="2"/>
      <c r="V12" s="2"/>
      <c r="W12" s="2"/>
      <c r="X12" s="2"/>
      <c r="Y12" s="2"/>
      <c r="Z12" s="2"/>
    </row>
    <row r="13" spans="1:26" ht="12.75" customHeight="1" x14ac:dyDescent="0.2">
      <c r="A13" s="2"/>
      <c r="B13" s="89" t="s">
        <v>44</v>
      </c>
      <c r="C13" s="89"/>
      <c r="D13" s="89"/>
      <c r="E13" s="93" t="s">
        <v>186</v>
      </c>
      <c r="F13" s="2"/>
      <c r="G13" s="89" t="s">
        <v>53</v>
      </c>
      <c r="H13" s="109"/>
      <c r="I13" s="109"/>
      <c r="J13" s="110">
        <v>0</v>
      </c>
      <c r="K13" s="111">
        <v>0</v>
      </c>
      <c r="L13" s="112">
        <v>0</v>
      </c>
      <c r="M13" s="113">
        <f>J13+L13-K13</f>
        <v>0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" customHeight="1" x14ac:dyDescent="0.2">
      <c r="A14" s="2"/>
      <c r="B14" s="89" t="s">
        <v>48</v>
      </c>
      <c r="C14" s="89"/>
      <c r="D14" s="89"/>
      <c r="E14" s="94">
        <v>0</v>
      </c>
      <c r="F14" s="2"/>
      <c r="G14" s="89" t="s">
        <v>54</v>
      </c>
      <c r="H14" s="109"/>
      <c r="I14" s="109"/>
      <c r="J14" s="114">
        <v>0</v>
      </c>
      <c r="K14" s="115">
        <v>0</v>
      </c>
      <c r="L14" s="116">
        <v>0</v>
      </c>
      <c r="M14" s="117">
        <f>J14+L14-K14</f>
        <v>0</v>
      </c>
      <c r="N14" s="2"/>
      <c r="O14" s="204" t="s">
        <v>55</v>
      </c>
      <c r="P14" s="200"/>
      <c r="Q14" s="200"/>
      <c r="R14" s="200"/>
      <c r="S14" s="200"/>
      <c r="T14" s="2"/>
      <c r="U14" s="2"/>
      <c r="V14" s="2"/>
      <c r="W14" s="2"/>
      <c r="X14" s="2"/>
      <c r="Y14" s="2"/>
      <c r="Z14" s="2"/>
    </row>
    <row r="15" spans="1:26" ht="12.75" customHeight="1" x14ac:dyDescent="0.2">
      <c r="A15" s="2"/>
      <c r="B15" s="89"/>
      <c r="C15" s="89"/>
      <c r="D15" s="89"/>
      <c r="E15" s="118"/>
      <c r="F15" s="2"/>
      <c r="G15" s="88" t="s">
        <v>56</v>
      </c>
      <c r="H15" s="109"/>
      <c r="I15" s="109"/>
      <c r="J15" s="102">
        <f>J12-SUM(J13:J14)</f>
        <v>0</v>
      </c>
      <c r="K15" s="107">
        <f>K12-SUM(K13:K14)</f>
        <v>0</v>
      </c>
      <c r="L15" s="108">
        <f>L12-SUM(L13:L14)</f>
        <v>0</v>
      </c>
      <c r="M15" s="102">
        <f>M12-SUM(M13:M14)</f>
        <v>0</v>
      </c>
      <c r="N15" s="2"/>
      <c r="O15" s="206" t="s">
        <v>43</v>
      </c>
      <c r="P15" s="200"/>
      <c r="Q15" s="200"/>
      <c r="R15" s="200"/>
      <c r="S15" s="200"/>
      <c r="T15" s="2"/>
      <c r="U15" s="2"/>
      <c r="V15" s="2"/>
      <c r="W15" s="2"/>
      <c r="X15" s="2"/>
      <c r="Y15" s="2"/>
      <c r="Z15" s="2"/>
    </row>
    <row r="16" spans="1:26" ht="15" customHeight="1" x14ac:dyDescent="0.2">
      <c r="A16" s="2"/>
      <c r="B16" s="89" t="s">
        <v>57</v>
      </c>
      <c r="C16" s="89"/>
      <c r="D16" s="89"/>
      <c r="E16" s="119">
        <v>0</v>
      </c>
      <c r="F16" s="2"/>
      <c r="G16" s="89" t="s">
        <v>58</v>
      </c>
      <c r="H16" s="109"/>
      <c r="I16" s="109"/>
      <c r="J16" s="103">
        <v>0</v>
      </c>
      <c r="K16" s="104">
        <v>0</v>
      </c>
      <c r="L16" s="105">
        <v>0</v>
      </c>
      <c r="M16" s="106">
        <f>J16+L16-K16</f>
        <v>0</v>
      </c>
      <c r="N16" s="2"/>
      <c r="O16" s="200"/>
      <c r="P16" s="200"/>
      <c r="Q16" s="200"/>
      <c r="R16" s="200"/>
      <c r="S16" s="200"/>
      <c r="T16" s="2"/>
      <c r="U16" s="2"/>
      <c r="V16" s="2"/>
      <c r="W16" s="2"/>
      <c r="X16" s="2"/>
      <c r="Y16" s="2"/>
      <c r="Z16" s="2"/>
    </row>
    <row r="17" spans="1:26" ht="12.75" customHeight="1" x14ac:dyDescent="0.2">
      <c r="A17" s="2"/>
      <c r="B17" s="89" t="s">
        <v>59</v>
      </c>
      <c r="C17" s="89"/>
      <c r="D17" s="89"/>
      <c r="E17" s="119">
        <v>0</v>
      </c>
      <c r="F17" s="2"/>
      <c r="G17" s="88" t="s">
        <v>60</v>
      </c>
      <c r="H17" s="89"/>
      <c r="I17" s="89"/>
      <c r="J17" s="102">
        <f>J15-SUM(J16)</f>
        <v>0</v>
      </c>
      <c r="K17" s="107">
        <f>K15-SUM(K16)</f>
        <v>0</v>
      </c>
      <c r="L17" s="108">
        <f>L15-SUM(L16)</f>
        <v>0</v>
      </c>
      <c r="M17" s="102">
        <f>M15-SUM(M16)</f>
        <v>0</v>
      </c>
      <c r="N17" s="2"/>
      <c r="O17" s="200"/>
      <c r="P17" s="200"/>
      <c r="Q17" s="200"/>
      <c r="R17" s="200"/>
      <c r="S17" s="200"/>
      <c r="T17" s="2"/>
      <c r="U17" s="2"/>
      <c r="V17" s="2"/>
      <c r="W17" s="2"/>
      <c r="X17" s="2"/>
      <c r="Y17" s="2"/>
      <c r="Z17" s="2"/>
    </row>
    <row r="18" spans="1:26" ht="12.75" customHeight="1" x14ac:dyDescent="0.2">
      <c r="A18" s="2"/>
      <c r="B18" s="89" t="s">
        <v>61</v>
      </c>
      <c r="C18" s="89"/>
      <c r="D18" s="89"/>
      <c r="E18" s="93" t="s">
        <v>62</v>
      </c>
      <c r="F18" s="2"/>
      <c r="G18" s="89" t="s">
        <v>63</v>
      </c>
      <c r="H18" s="89"/>
      <c r="I18" s="89"/>
      <c r="J18" s="110">
        <v>0</v>
      </c>
      <c r="K18" s="111">
        <v>0</v>
      </c>
      <c r="L18" s="112">
        <v>0</v>
      </c>
      <c r="M18" s="113">
        <f>J18+L18-K18</f>
        <v>0</v>
      </c>
      <c r="N18" s="2"/>
      <c r="O18" s="200"/>
      <c r="P18" s="200"/>
      <c r="Q18" s="200"/>
      <c r="R18" s="200"/>
      <c r="S18" s="200"/>
      <c r="T18" s="2"/>
      <c r="U18" s="2"/>
      <c r="V18" s="2"/>
      <c r="W18" s="2"/>
      <c r="X18" s="2"/>
      <c r="Y18" s="2"/>
      <c r="Z18" s="2"/>
    </row>
    <row r="19" spans="1:26" ht="12.75" customHeight="1" x14ac:dyDescent="0.2">
      <c r="A19" s="2"/>
      <c r="B19" s="89" t="s">
        <v>64</v>
      </c>
      <c r="C19" s="89"/>
      <c r="D19" s="89"/>
      <c r="E19" s="93" t="s">
        <v>62</v>
      </c>
      <c r="F19" s="2"/>
      <c r="G19" s="89" t="s">
        <v>65</v>
      </c>
      <c r="H19" s="89"/>
      <c r="I19" s="89"/>
      <c r="J19" s="110">
        <v>0</v>
      </c>
      <c r="K19" s="111">
        <v>0</v>
      </c>
      <c r="L19" s="112">
        <v>0</v>
      </c>
      <c r="M19" s="113">
        <f>J19+L19-K19</f>
        <v>0</v>
      </c>
      <c r="N19" s="2"/>
      <c r="O19" s="200"/>
      <c r="P19" s="200"/>
      <c r="Q19" s="200"/>
      <c r="R19" s="200"/>
      <c r="S19" s="200"/>
      <c r="T19" s="2"/>
      <c r="U19" s="2"/>
      <c r="V19" s="2"/>
      <c r="W19" s="2"/>
      <c r="X19" s="2"/>
      <c r="Y19" s="2"/>
      <c r="Z19" s="2"/>
    </row>
    <row r="20" spans="1:26" ht="15" customHeight="1" x14ac:dyDescent="0.2">
      <c r="A20" s="2"/>
      <c r="B20" s="2"/>
      <c r="C20" s="2"/>
      <c r="D20" s="2"/>
      <c r="E20" s="2"/>
      <c r="F20" s="2"/>
      <c r="G20" s="89" t="s">
        <v>66</v>
      </c>
      <c r="H20" s="89"/>
      <c r="I20" s="89"/>
      <c r="J20" s="114">
        <v>0</v>
      </c>
      <c r="K20" s="115">
        <v>0</v>
      </c>
      <c r="L20" s="116">
        <v>0</v>
      </c>
      <c r="M20" s="117">
        <f>J20+L20-K20</f>
        <v>0</v>
      </c>
      <c r="N20" s="2"/>
      <c r="O20" s="200"/>
      <c r="P20" s="200"/>
      <c r="Q20" s="200"/>
      <c r="R20" s="200"/>
      <c r="S20" s="200"/>
      <c r="T20" s="2"/>
      <c r="U20" s="2"/>
      <c r="V20" s="2"/>
      <c r="W20" s="2"/>
      <c r="X20" s="2"/>
      <c r="Y20" s="2"/>
      <c r="Z20" s="2"/>
    </row>
    <row r="21" spans="1:26" ht="15" customHeight="1" x14ac:dyDescent="0.2">
      <c r="A21" s="2"/>
      <c r="B21" s="204" t="s">
        <v>67</v>
      </c>
      <c r="C21" s="200"/>
      <c r="D21" s="200"/>
      <c r="E21" s="200"/>
      <c r="F21" s="2"/>
      <c r="G21" s="88" t="s">
        <v>68</v>
      </c>
      <c r="H21" s="89"/>
      <c r="I21" s="89"/>
      <c r="J21" s="120">
        <f>J17-SUM(J18:J20)</f>
        <v>0</v>
      </c>
      <c r="K21" s="121">
        <f>K17-SUM(K18:K20)</f>
        <v>0</v>
      </c>
      <c r="L21" s="122">
        <f>L17-SUM(L18:L20)</f>
        <v>0</v>
      </c>
      <c r="M21" s="120">
        <f>M17-SUM(M18:M20)</f>
        <v>0</v>
      </c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" customHeight="1" x14ac:dyDescent="0.2">
      <c r="A22" s="2"/>
      <c r="B22" s="205" t="s">
        <v>69</v>
      </c>
      <c r="C22" s="200"/>
      <c r="D22" s="200"/>
      <c r="E22" s="200"/>
      <c r="F22" s="2"/>
      <c r="G22" s="123" t="s">
        <v>70</v>
      </c>
      <c r="H22" s="123"/>
      <c r="I22" s="123"/>
      <c r="J22" s="124" t="str">
        <f>+IF(ISERROR(J18/J17),"NA",J18/J17)</f>
        <v>NA</v>
      </c>
      <c r="K22" s="125" t="str">
        <f>+IF(ISERROR(K18/K17),"NA",K18/K17)</f>
        <v>NA</v>
      </c>
      <c r="L22" s="126" t="str">
        <f>+IF(ISERROR(L18/L17),"NA",L18/L17)</f>
        <v>NA</v>
      </c>
      <c r="M22" s="124" t="str">
        <f>+IF(ISERROR(M18/M17),"NA",M18/M17)</f>
        <v>NA</v>
      </c>
      <c r="N22" s="2"/>
      <c r="O22" s="204" t="s">
        <v>71</v>
      </c>
      <c r="P22" s="200"/>
      <c r="Q22" s="200"/>
      <c r="R22" s="200"/>
      <c r="S22" s="200"/>
      <c r="T22" s="2"/>
      <c r="U22" s="2"/>
      <c r="V22" s="2"/>
      <c r="W22" s="2"/>
      <c r="X22" s="2"/>
      <c r="Y22" s="2"/>
      <c r="Z22" s="2"/>
    </row>
    <row r="23" spans="1:26" ht="12.75" customHeight="1" x14ac:dyDescent="0.2">
      <c r="A23" s="2"/>
      <c r="B23" s="89" t="s">
        <v>72</v>
      </c>
      <c r="C23" s="89"/>
      <c r="D23" s="89"/>
      <c r="E23" s="127">
        <v>0</v>
      </c>
      <c r="F23" s="2"/>
      <c r="G23" s="89"/>
      <c r="H23" s="89"/>
      <c r="I23" s="89"/>
      <c r="J23" s="128"/>
      <c r="K23" s="129"/>
      <c r="L23" s="130"/>
      <c r="M23" s="128"/>
      <c r="N23" s="2"/>
      <c r="O23" s="206" t="s">
        <v>43</v>
      </c>
      <c r="P23" s="200"/>
      <c r="Q23" s="200"/>
      <c r="R23" s="200"/>
      <c r="S23" s="200"/>
      <c r="T23" s="2"/>
      <c r="U23" s="2"/>
      <c r="V23" s="2"/>
      <c r="W23" s="2"/>
      <c r="X23" s="2"/>
      <c r="Y23" s="2"/>
      <c r="Z23" s="2"/>
    </row>
    <row r="24" spans="1:26" ht="12.75" customHeight="1" x14ac:dyDescent="0.2">
      <c r="A24" s="2"/>
      <c r="B24" s="89" t="s">
        <v>73</v>
      </c>
      <c r="C24" s="89"/>
      <c r="D24" s="89"/>
      <c r="E24" s="131">
        <f>D25*D26</f>
        <v>0</v>
      </c>
      <c r="F24" s="2"/>
      <c r="G24" s="89" t="s">
        <v>74</v>
      </c>
      <c r="H24" s="89"/>
      <c r="I24" s="89"/>
      <c r="J24" s="110">
        <v>0</v>
      </c>
      <c r="K24" s="111">
        <v>0</v>
      </c>
      <c r="L24" s="112">
        <v>0</v>
      </c>
      <c r="M24" s="113">
        <f>+IF(ISERROR(J24+L24-K24),"NA",J24+L24-K24)</f>
        <v>0</v>
      </c>
      <c r="N24" s="2"/>
      <c r="O24" s="200"/>
      <c r="P24" s="200"/>
      <c r="Q24" s="200"/>
      <c r="R24" s="200"/>
      <c r="S24" s="200"/>
      <c r="T24" s="2"/>
      <c r="U24" s="2"/>
      <c r="V24" s="2"/>
      <c r="W24" s="2"/>
      <c r="X24" s="2"/>
      <c r="Y24" s="2"/>
      <c r="Z24" s="2"/>
    </row>
    <row r="25" spans="1:26" ht="12.75" customHeight="1" x14ac:dyDescent="0.2">
      <c r="A25" s="2"/>
      <c r="B25" s="132" t="s">
        <v>75</v>
      </c>
      <c r="C25" s="89"/>
      <c r="D25" s="133">
        <v>0</v>
      </c>
      <c r="E25" s="89"/>
      <c r="F25" s="2"/>
      <c r="G25" s="89" t="s">
        <v>76</v>
      </c>
      <c r="H25" s="89"/>
      <c r="I25" s="89"/>
      <c r="J25" s="134" t="str">
        <f>IF(ISERROR(J21/J24),"NA",J21/J24)</f>
        <v>NA</v>
      </c>
      <c r="K25" s="135" t="str">
        <f>IF(ISERROR(K21/K24),"NA",K21/K24)</f>
        <v>NA</v>
      </c>
      <c r="L25" s="136" t="str">
        <f>IF(ISERROR(L21/L24),"NA",L21/L24)</f>
        <v>NA</v>
      </c>
      <c r="M25" s="134" t="str">
        <f>+IF(ISERROR(J25+L25-K25),"NA",J25+L25-K25)</f>
        <v>NA</v>
      </c>
      <c r="N25" s="2"/>
      <c r="O25" s="200"/>
      <c r="P25" s="200"/>
      <c r="Q25" s="200"/>
      <c r="R25" s="200"/>
      <c r="S25" s="200"/>
      <c r="T25" s="2"/>
      <c r="U25" s="2"/>
      <c r="V25" s="2"/>
      <c r="W25" s="2"/>
      <c r="X25" s="2"/>
      <c r="Y25" s="2"/>
      <c r="Z25" s="2"/>
    </row>
    <row r="26" spans="1:26" ht="15" customHeight="1" x14ac:dyDescent="0.2">
      <c r="A26" s="2"/>
      <c r="B26" s="132" t="str">
        <f>""&amp;E12&amp;" Share Price"</f>
        <v>Acquirer 10 Share Price</v>
      </c>
      <c r="C26" s="89"/>
      <c r="D26" s="127">
        <v>0</v>
      </c>
      <c r="E26" s="137" t="s">
        <v>77</v>
      </c>
      <c r="F26" s="2"/>
      <c r="G26" s="2"/>
      <c r="H26" s="2"/>
      <c r="I26" s="2"/>
      <c r="J26" s="2"/>
      <c r="K26" s="2"/>
      <c r="L26" s="2"/>
      <c r="M26" s="2"/>
      <c r="N26" s="2"/>
      <c r="O26" s="200"/>
      <c r="P26" s="200"/>
      <c r="Q26" s="200"/>
      <c r="R26" s="200"/>
      <c r="S26" s="200"/>
      <c r="T26" s="2"/>
      <c r="U26" s="2"/>
      <c r="V26" s="2"/>
      <c r="W26" s="2"/>
      <c r="X26" s="2"/>
      <c r="Y26" s="2"/>
      <c r="Z26" s="2"/>
    </row>
    <row r="27" spans="1:26" ht="15" customHeight="1" x14ac:dyDescent="0.2">
      <c r="A27" s="2"/>
      <c r="B27" s="88" t="s">
        <v>78</v>
      </c>
      <c r="C27" s="89"/>
      <c r="D27" s="89"/>
      <c r="E27" s="138">
        <f>SUM(E23:E24)</f>
        <v>0</v>
      </c>
      <c r="F27" s="2"/>
      <c r="G27" s="204" t="s">
        <v>79</v>
      </c>
      <c r="H27" s="200"/>
      <c r="I27" s="200"/>
      <c r="J27" s="200"/>
      <c r="K27" s="200"/>
      <c r="L27" s="200"/>
      <c r="M27" s="200"/>
      <c r="N27" s="2"/>
      <c r="O27" s="200"/>
      <c r="P27" s="200"/>
      <c r="Q27" s="200"/>
      <c r="R27" s="200"/>
      <c r="S27" s="200"/>
      <c r="T27" s="2"/>
      <c r="U27" s="2"/>
      <c r="V27" s="2"/>
      <c r="W27" s="2"/>
      <c r="X27" s="2"/>
      <c r="Y27" s="2"/>
      <c r="Z27" s="2"/>
    </row>
    <row r="28" spans="1:26" ht="12.75" customHeight="1" x14ac:dyDescent="0.2">
      <c r="A28" s="2"/>
      <c r="B28" s="88"/>
      <c r="C28" s="89"/>
      <c r="D28" s="89"/>
      <c r="E28" s="138"/>
      <c r="F28" s="2"/>
      <c r="G28" s="89" t="s">
        <v>80</v>
      </c>
      <c r="H28" s="89"/>
      <c r="I28" s="89"/>
      <c r="J28" s="139">
        <f>J12</f>
        <v>0</v>
      </c>
      <c r="K28" s="140">
        <f>K12</f>
        <v>0</v>
      </c>
      <c r="L28" s="141">
        <f>L12</f>
        <v>0</v>
      </c>
      <c r="M28" s="139">
        <f>M12</f>
        <v>0</v>
      </c>
      <c r="N28" s="2"/>
      <c r="O28" s="200"/>
      <c r="P28" s="200"/>
      <c r="Q28" s="200"/>
      <c r="R28" s="200"/>
      <c r="S28" s="200"/>
      <c r="T28" s="2"/>
      <c r="U28" s="2"/>
      <c r="V28" s="2"/>
      <c r="W28" s="2"/>
      <c r="X28" s="2"/>
      <c r="Y28" s="2"/>
      <c r="Z28" s="2"/>
    </row>
    <row r="29" spans="1:26" ht="15" customHeight="1" x14ac:dyDescent="0.2">
      <c r="A29" s="2"/>
      <c r="B29" s="89" t="s">
        <v>81</v>
      </c>
      <c r="C29" s="89"/>
      <c r="D29" s="89"/>
      <c r="E29" s="142">
        <f>+S36</f>
        <v>0</v>
      </c>
      <c r="F29" s="2"/>
      <c r="G29" s="89" t="s">
        <v>82</v>
      </c>
      <c r="H29" s="89"/>
      <c r="I29" s="89"/>
      <c r="J29" s="103">
        <v>0</v>
      </c>
      <c r="K29" s="104">
        <v>0</v>
      </c>
      <c r="L29" s="105">
        <v>0</v>
      </c>
      <c r="M29" s="106">
        <f>J29+L29-K29</f>
        <v>0</v>
      </c>
      <c r="N29" s="2"/>
      <c r="O29" s="143"/>
      <c r="P29" s="143"/>
      <c r="Q29" s="143"/>
      <c r="R29" s="143"/>
      <c r="S29" s="143"/>
      <c r="T29" s="2"/>
      <c r="U29" s="2"/>
      <c r="V29" s="2"/>
      <c r="W29" s="2"/>
      <c r="X29" s="2"/>
      <c r="Y29" s="2"/>
      <c r="Z29" s="2"/>
    </row>
    <row r="30" spans="1:26" ht="15" customHeight="1" x14ac:dyDescent="0.2">
      <c r="A30" s="2"/>
      <c r="B30" s="88" t="s">
        <v>83</v>
      </c>
      <c r="C30" s="89"/>
      <c r="D30" s="89"/>
      <c r="E30" s="144">
        <f>+E29*E27</f>
        <v>0</v>
      </c>
      <c r="F30" s="2"/>
      <c r="G30" s="88" t="s">
        <v>84</v>
      </c>
      <c r="H30" s="89"/>
      <c r="I30" s="89"/>
      <c r="J30" s="102">
        <f>J28+J29</f>
        <v>0</v>
      </c>
      <c r="K30" s="107">
        <f>K28+K29</f>
        <v>0</v>
      </c>
      <c r="L30" s="108">
        <f>L28+L29</f>
        <v>0</v>
      </c>
      <c r="M30" s="102">
        <f>M28+M29</f>
        <v>0</v>
      </c>
      <c r="N30" s="2"/>
      <c r="O30" s="204" t="s">
        <v>85</v>
      </c>
      <c r="P30" s="200"/>
      <c r="Q30" s="200"/>
      <c r="R30" s="200"/>
      <c r="S30" s="200"/>
      <c r="T30" s="2"/>
      <c r="U30" s="2"/>
      <c r="V30" s="2"/>
      <c r="W30" s="2"/>
      <c r="X30" s="2"/>
      <c r="Y30" s="2"/>
      <c r="Z30" s="2"/>
    </row>
    <row r="31" spans="1:26" ht="12.75" customHeight="1" x14ac:dyDescent="0.2">
      <c r="A31" s="2"/>
      <c r="B31" s="89"/>
      <c r="C31" s="89"/>
      <c r="D31" s="89"/>
      <c r="E31" s="89"/>
      <c r="F31" s="2"/>
      <c r="G31" s="123" t="s">
        <v>86</v>
      </c>
      <c r="H31" s="123"/>
      <c r="I31" s="123"/>
      <c r="J31" s="124" t="str">
        <f>IF(ISERROR(J30/J10),"NA",J30/J10)</f>
        <v>NA</v>
      </c>
      <c r="K31" s="125" t="str">
        <f>IF(ISERROR(K30/K10),"NA",K30/K10)</f>
        <v>NA</v>
      </c>
      <c r="L31" s="126" t="str">
        <f>IF(ISERROR(L30/L10),"NA",L30/L10)</f>
        <v>NA</v>
      </c>
      <c r="M31" s="124" t="str">
        <f>IF(ISERROR(M30/M10),"NA",M30/M10)</f>
        <v>NA</v>
      </c>
      <c r="N31" s="2"/>
      <c r="O31" s="89" t="s">
        <v>87</v>
      </c>
      <c r="P31" s="89"/>
      <c r="Q31" s="89"/>
      <c r="R31" s="89"/>
      <c r="S31" s="145">
        <v>0</v>
      </c>
      <c r="T31" s="2"/>
      <c r="U31" s="2"/>
      <c r="V31" s="2"/>
      <c r="W31" s="2"/>
      <c r="X31" s="2"/>
      <c r="Y31" s="2"/>
      <c r="Z31" s="2"/>
    </row>
    <row r="32" spans="1:26" ht="15" customHeight="1" x14ac:dyDescent="0.2">
      <c r="A32" s="2"/>
      <c r="B32" s="205" t="s">
        <v>88</v>
      </c>
      <c r="C32" s="200"/>
      <c r="D32" s="200"/>
      <c r="E32" s="200"/>
      <c r="F32" s="2"/>
      <c r="G32" s="89"/>
      <c r="H32" s="89"/>
      <c r="I32" s="89"/>
      <c r="J32" s="128"/>
      <c r="K32" s="129"/>
      <c r="L32" s="130"/>
      <c r="M32" s="128"/>
      <c r="N32" s="2"/>
      <c r="O32" s="89" t="s">
        <v>89</v>
      </c>
      <c r="P32" s="89"/>
      <c r="Q32" s="89"/>
      <c r="R32" s="89"/>
      <c r="S32" s="146">
        <f>+R46</f>
        <v>0</v>
      </c>
      <c r="T32" s="2"/>
      <c r="U32" s="2"/>
      <c r="V32" s="2"/>
      <c r="W32" s="2"/>
      <c r="X32" s="2"/>
      <c r="Y32" s="2"/>
      <c r="Z32" s="2"/>
    </row>
    <row r="33" spans="1:26" ht="15" customHeight="1" x14ac:dyDescent="0.2">
      <c r="A33" s="2"/>
      <c r="B33" s="89" t="s">
        <v>90</v>
      </c>
      <c r="C33" s="89"/>
      <c r="D33" s="89"/>
      <c r="E33" s="147">
        <v>0</v>
      </c>
      <c r="F33" s="2"/>
      <c r="G33" s="89" t="s">
        <v>91</v>
      </c>
      <c r="H33" s="89"/>
      <c r="I33" s="89"/>
      <c r="J33" s="139">
        <f>J15</f>
        <v>0</v>
      </c>
      <c r="K33" s="148">
        <f>K15</f>
        <v>0</v>
      </c>
      <c r="L33" s="149">
        <f>L15</f>
        <v>0</v>
      </c>
      <c r="M33" s="139">
        <f>M15</f>
        <v>0</v>
      </c>
      <c r="N33" s="2"/>
      <c r="O33" s="89" t="s">
        <v>92</v>
      </c>
      <c r="P33" s="89"/>
      <c r="Q33" s="89"/>
      <c r="R33" s="89"/>
      <c r="S33" s="150">
        <f>IF(ISERROR(-S46/E27),0,-S46/E27)</f>
        <v>0</v>
      </c>
      <c r="T33" s="2"/>
      <c r="U33" s="2"/>
      <c r="V33" s="2"/>
      <c r="W33" s="2"/>
      <c r="X33" s="2"/>
      <c r="Y33" s="2"/>
      <c r="Z33" s="2"/>
    </row>
    <row r="34" spans="1:26" ht="12.75" customHeight="1" x14ac:dyDescent="0.2">
      <c r="A34" s="2"/>
      <c r="B34" s="89" t="s">
        <v>93</v>
      </c>
      <c r="C34" s="89"/>
      <c r="D34" s="89"/>
      <c r="E34" s="147">
        <v>0</v>
      </c>
      <c r="F34" s="2"/>
      <c r="G34" s="89" t="s">
        <v>82</v>
      </c>
      <c r="H34" s="89"/>
      <c r="I34" s="89"/>
      <c r="J34" s="151">
        <f>+J29</f>
        <v>0</v>
      </c>
      <c r="K34" s="152">
        <f>+K29</f>
        <v>0</v>
      </c>
      <c r="L34" s="153">
        <f>+L29</f>
        <v>0</v>
      </c>
      <c r="M34" s="151">
        <f>J34+L34-K34</f>
        <v>0</v>
      </c>
      <c r="N34" s="2"/>
      <c r="O34" s="88" t="s">
        <v>94</v>
      </c>
      <c r="P34" s="88"/>
      <c r="Q34" s="88"/>
      <c r="R34" s="88"/>
      <c r="S34" s="154">
        <f>S32+S33</f>
        <v>0</v>
      </c>
      <c r="T34" s="2"/>
      <c r="U34" s="2"/>
      <c r="V34" s="2"/>
      <c r="W34" s="2"/>
      <c r="X34" s="2"/>
      <c r="Y34" s="2"/>
      <c r="Z34" s="2"/>
    </row>
    <row r="35" spans="1:26" ht="15" customHeight="1" x14ac:dyDescent="0.2">
      <c r="A35" s="2"/>
      <c r="B35" s="89" t="s">
        <v>95</v>
      </c>
      <c r="C35" s="89"/>
      <c r="D35" s="89"/>
      <c r="E35" s="147">
        <v>0</v>
      </c>
      <c r="F35" s="155"/>
      <c r="G35" s="89" t="s">
        <v>96</v>
      </c>
      <c r="H35" s="89"/>
      <c r="I35" s="89"/>
      <c r="J35" s="103">
        <v>0</v>
      </c>
      <c r="K35" s="104">
        <v>0</v>
      </c>
      <c r="L35" s="105">
        <v>0</v>
      </c>
      <c r="M35" s="106">
        <f>J35+L35-K35</f>
        <v>0</v>
      </c>
      <c r="N35" s="2"/>
      <c r="O35" s="89" t="s">
        <v>97</v>
      </c>
      <c r="P35" s="89"/>
      <c r="Q35" s="89"/>
      <c r="R35" s="89"/>
      <c r="S35" s="142">
        <f>S56</f>
        <v>0</v>
      </c>
      <c r="T35" s="2"/>
      <c r="U35" s="2"/>
      <c r="V35" s="2"/>
      <c r="W35" s="2"/>
      <c r="X35" s="2"/>
      <c r="Y35" s="2"/>
      <c r="Z35" s="2"/>
    </row>
    <row r="36" spans="1:26" ht="15" customHeight="1" x14ac:dyDescent="0.2">
      <c r="A36" s="2"/>
      <c r="B36" s="89" t="s">
        <v>98</v>
      </c>
      <c r="C36" s="89"/>
      <c r="D36" s="89"/>
      <c r="E36" s="156">
        <v>0</v>
      </c>
      <c r="F36" s="2"/>
      <c r="G36" s="88" t="s">
        <v>99</v>
      </c>
      <c r="H36" s="89"/>
      <c r="I36" s="89"/>
      <c r="J36" s="102">
        <f>SUM(J33:J35)</f>
        <v>0</v>
      </c>
      <c r="K36" s="107">
        <f>SUM(K33:K35)</f>
        <v>0</v>
      </c>
      <c r="L36" s="108">
        <f>SUM(L33:L35)</f>
        <v>0</v>
      </c>
      <c r="M36" s="102">
        <f>SUM(M33:M35)</f>
        <v>0</v>
      </c>
      <c r="N36" s="2"/>
      <c r="O36" s="88" t="s">
        <v>100</v>
      </c>
      <c r="P36" s="89"/>
      <c r="Q36" s="89"/>
      <c r="R36" s="89"/>
      <c r="S36" s="157">
        <f>+S31+SUM(S34:S35)</f>
        <v>0</v>
      </c>
      <c r="T36" s="2"/>
      <c r="U36" s="2"/>
      <c r="V36" s="2"/>
      <c r="W36" s="2"/>
      <c r="X36" s="2"/>
      <c r="Y36" s="2"/>
      <c r="Z36" s="2"/>
    </row>
    <row r="37" spans="1:26" ht="15" customHeight="1" x14ac:dyDescent="0.2">
      <c r="A37" s="2"/>
      <c r="B37" s="88" t="s">
        <v>101</v>
      </c>
      <c r="C37" s="89"/>
      <c r="D37" s="89"/>
      <c r="E37" s="158">
        <f>+E30+SUM(E33:E35)+E36</f>
        <v>0</v>
      </c>
      <c r="F37" s="159"/>
      <c r="G37" s="123" t="s">
        <v>86</v>
      </c>
      <c r="H37" s="123"/>
      <c r="I37" s="123"/>
      <c r="J37" s="124" t="str">
        <f>IF(ISERROR(J36/J10),"NA",J36/J10)</f>
        <v>NA</v>
      </c>
      <c r="K37" s="125" t="str">
        <f>IF(ISERROR(K36/K10),"NA",K36/K10)</f>
        <v>NA</v>
      </c>
      <c r="L37" s="126" t="str">
        <f>IF(ISERROR(L36/L10),"NA",L36/L10)</f>
        <v>NA</v>
      </c>
      <c r="M37" s="124" t="str">
        <f>IF(ISERROR(M36/M10),"NA",M36/M10)</f>
        <v>NA</v>
      </c>
      <c r="N37" s="2"/>
      <c r="O37" s="89"/>
      <c r="P37" s="89"/>
      <c r="Q37" s="89"/>
      <c r="R37" s="89"/>
      <c r="S37" s="89"/>
      <c r="T37" s="2"/>
      <c r="U37" s="2"/>
      <c r="V37" s="2"/>
      <c r="W37" s="2"/>
      <c r="X37" s="2"/>
      <c r="Y37" s="2"/>
      <c r="Z37" s="2"/>
    </row>
    <row r="38" spans="1:26" ht="15" customHeight="1" x14ac:dyDescent="0.2">
      <c r="A38" s="2"/>
      <c r="B38" s="2"/>
      <c r="C38" s="2"/>
      <c r="D38" s="2"/>
      <c r="E38" s="2"/>
      <c r="F38" s="159"/>
      <c r="G38" s="89"/>
      <c r="H38" s="89"/>
      <c r="I38" s="89"/>
      <c r="J38" s="128"/>
      <c r="K38" s="129"/>
      <c r="L38" s="130"/>
      <c r="M38" s="128"/>
      <c r="N38" s="2"/>
      <c r="O38" s="205" t="s">
        <v>102</v>
      </c>
      <c r="P38" s="200"/>
      <c r="Q38" s="200"/>
      <c r="R38" s="200"/>
      <c r="S38" s="200"/>
      <c r="T38" s="2"/>
      <c r="U38" s="2"/>
      <c r="V38" s="2"/>
      <c r="W38" s="2"/>
      <c r="X38" s="2"/>
      <c r="Y38" s="2"/>
      <c r="Z38" s="2"/>
    </row>
    <row r="39" spans="1:26" ht="15" customHeight="1" x14ac:dyDescent="0.2">
      <c r="A39" s="2"/>
      <c r="B39" s="204" t="s">
        <v>103</v>
      </c>
      <c r="C39" s="200"/>
      <c r="D39" s="200"/>
      <c r="E39" s="200"/>
      <c r="F39" s="2"/>
      <c r="G39" s="89" t="s">
        <v>104</v>
      </c>
      <c r="H39" s="89"/>
      <c r="I39" s="89"/>
      <c r="J39" s="160">
        <f>+J54</f>
        <v>0</v>
      </c>
      <c r="K39" s="161">
        <f>+K54</f>
        <v>0</v>
      </c>
      <c r="L39" s="162">
        <f>+L54</f>
        <v>0</v>
      </c>
      <c r="M39" s="160">
        <f>+M54</f>
        <v>0</v>
      </c>
      <c r="N39" s="2"/>
      <c r="O39" s="92"/>
      <c r="P39" s="92" t="s">
        <v>105</v>
      </c>
      <c r="Q39" s="92" t="s">
        <v>106</v>
      </c>
      <c r="R39" s="92" t="s">
        <v>107</v>
      </c>
      <c r="S39" s="92"/>
      <c r="T39" s="2"/>
      <c r="U39" s="2"/>
      <c r="V39" s="2"/>
      <c r="W39" s="2"/>
      <c r="X39" s="2"/>
      <c r="Y39" s="2"/>
      <c r="Z39" s="2"/>
    </row>
    <row r="40" spans="1:26" ht="15" customHeight="1" x14ac:dyDescent="0.2">
      <c r="A40" s="2"/>
      <c r="B40" s="89" t="s">
        <v>108</v>
      </c>
      <c r="C40" s="89"/>
      <c r="D40" s="89"/>
      <c r="E40" s="163" t="str">
        <f>IF(ISERROR(E37/M10),"NA",E37/M10)</f>
        <v>NA</v>
      </c>
      <c r="F40" s="2"/>
      <c r="G40" s="88" t="s">
        <v>109</v>
      </c>
      <c r="H40" s="89"/>
      <c r="I40" s="89"/>
      <c r="J40" s="102">
        <f>+J36+J39</f>
        <v>0</v>
      </c>
      <c r="K40" s="107">
        <f>+K36+K39</f>
        <v>0</v>
      </c>
      <c r="L40" s="108">
        <f>+L36+L39</f>
        <v>0</v>
      </c>
      <c r="M40" s="102">
        <f>+M36+M39</f>
        <v>0</v>
      </c>
      <c r="N40" s="2"/>
      <c r="O40" s="97" t="s">
        <v>110</v>
      </c>
      <c r="P40" s="97" t="s">
        <v>111</v>
      </c>
      <c r="Q40" s="97" t="s">
        <v>112</v>
      </c>
      <c r="R40" s="97" t="s">
        <v>111</v>
      </c>
      <c r="S40" s="97" t="s">
        <v>113</v>
      </c>
      <c r="T40" s="2"/>
      <c r="U40" s="2"/>
      <c r="V40" s="2"/>
      <c r="W40" s="2"/>
      <c r="X40" s="2"/>
      <c r="Y40" s="2"/>
      <c r="Z40" s="2"/>
    </row>
    <row r="41" spans="1:26" ht="12.75" customHeight="1" x14ac:dyDescent="0.2">
      <c r="A41" s="2"/>
      <c r="B41" s="89" t="s">
        <v>114</v>
      </c>
      <c r="C41" s="89"/>
      <c r="D41" s="89"/>
      <c r="E41" s="164">
        <f>M10</f>
        <v>0</v>
      </c>
      <c r="F41" s="2"/>
      <c r="G41" s="123" t="s">
        <v>86</v>
      </c>
      <c r="H41" s="123"/>
      <c r="I41" s="123"/>
      <c r="J41" s="124" t="str">
        <f>IF(ISERROR(J40/J10),"NA",J40/J10)</f>
        <v>NA</v>
      </c>
      <c r="K41" s="125" t="str">
        <f>IF(ISERROR(K40/K10),"NA",K40/K10)</f>
        <v>NA</v>
      </c>
      <c r="L41" s="126" t="str">
        <f>IF(ISERROR(L40/L10),"NA",L40/L10)</f>
        <v>NA</v>
      </c>
      <c r="M41" s="124" t="str">
        <f>IF(ISERROR(M40/M10),"NA",M40/M10)</f>
        <v>NA</v>
      </c>
      <c r="N41" s="2"/>
      <c r="O41" s="89" t="s">
        <v>115</v>
      </c>
      <c r="P41" s="145">
        <v>0</v>
      </c>
      <c r="Q41" s="127">
        <v>0</v>
      </c>
      <c r="R41" s="146">
        <f>+IF(Q41&lt;$E$27,P41,0)</f>
        <v>0</v>
      </c>
      <c r="S41" s="164">
        <f>IF(R41="NA","NA",R41*Q41)</f>
        <v>0</v>
      </c>
      <c r="T41" s="2"/>
      <c r="U41" s="2"/>
      <c r="V41" s="2"/>
      <c r="W41" s="2"/>
      <c r="X41" s="2"/>
      <c r="Y41" s="2"/>
      <c r="Z41" s="2"/>
    </row>
    <row r="42" spans="1:26" ht="12.75" customHeight="1" x14ac:dyDescent="0.2">
      <c r="A42" s="2"/>
      <c r="B42" s="89" t="s">
        <v>116</v>
      </c>
      <c r="C42" s="89"/>
      <c r="D42" s="89"/>
      <c r="E42" s="163" t="str">
        <f>IF(ISERROR(E37/M40),"NA",E37/M40)</f>
        <v>NA</v>
      </c>
      <c r="F42" s="2"/>
      <c r="G42" s="89"/>
      <c r="H42" s="89"/>
      <c r="I42" s="89"/>
      <c r="J42" s="128"/>
      <c r="K42" s="129"/>
      <c r="L42" s="130"/>
      <c r="M42" s="128"/>
      <c r="N42" s="2"/>
      <c r="O42" s="89" t="s">
        <v>117</v>
      </c>
      <c r="P42" s="145">
        <v>0</v>
      </c>
      <c r="Q42" s="133">
        <v>0</v>
      </c>
      <c r="R42" s="146">
        <f>+IF(Q42&lt;$E$27,P42,0)</f>
        <v>0</v>
      </c>
      <c r="S42" s="165">
        <f>IF(R42="NA","NA",R42*Q42)</f>
        <v>0</v>
      </c>
      <c r="T42" s="2"/>
      <c r="U42" s="2"/>
      <c r="V42" s="2"/>
      <c r="W42" s="2"/>
      <c r="X42" s="2"/>
      <c r="Y42" s="2"/>
      <c r="Z42" s="2"/>
    </row>
    <row r="43" spans="1:26" ht="12.75" customHeight="1" x14ac:dyDescent="0.2">
      <c r="A43" s="2"/>
      <c r="B43" s="89" t="s">
        <v>114</v>
      </c>
      <c r="C43" s="89"/>
      <c r="D43" s="89"/>
      <c r="E43" s="164">
        <f>M40</f>
        <v>0</v>
      </c>
      <c r="F43" s="2"/>
      <c r="G43" s="89" t="s">
        <v>118</v>
      </c>
      <c r="H43" s="89"/>
      <c r="I43" s="89"/>
      <c r="J43" s="139">
        <f>J21</f>
        <v>0</v>
      </c>
      <c r="K43" s="148">
        <f>K21</f>
        <v>0</v>
      </c>
      <c r="L43" s="149">
        <f>L21</f>
        <v>0</v>
      </c>
      <c r="M43" s="139">
        <f>M21</f>
        <v>0</v>
      </c>
      <c r="N43" s="2"/>
      <c r="O43" s="89" t="s">
        <v>119</v>
      </c>
      <c r="P43" s="145">
        <v>0</v>
      </c>
      <c r="Q43" s="133">
        <v>0</v>
      </c>
      <c r="R43" s="146">
        <f>+IF(Q43&lt;$E$27,P43,0)</f>
        <v>0</v>
      </c>
      <c r="S43" s="165">
        <f>IF(R43="NA","NA",R43*Q43)</f>
        <v>0</v>
      </c>
      <c r="T43" s="2"/>
      <c r="U43" s="2"/>
      <c r="V43" s="2"/>
      <c r="W43" s="2"/>
      <c r="X43" s="2"/>
      <c r="Y43" s="2"/>
      <c r="Z43" s="2"/>
    </row>
    <row r="44" spans="1:26" ht="12.75" customHeight="1" x14ac:dyDescent="0.2">
      <c r="A44" s="2"/>
      <c r="B44" s="89" t="s">
        <v>120</v>
      </c>
      <c r="C44" s="89"/>
      <c r="D44" s="89"/>
      <c r="E44" s="163" t="str">
        <f>IF(ISERROR(E37/M36),"NA",E37/M36)</f>
        <v>NA</v>
      </c>
      <c r="F44" s="2"/>
      <c r="G44" s="89" t="s">
        <v>82</v>
      </c>
      <c r="H44" s="89"/>
      <c r="I44" s="89"/>
      <c r="J44" s="113">
        <f>+J29</f>
        <v>0</v>
      </c>
      <c r="K44" s="166">
        <f>+K29</f>
        <v>0</v>
      </c>
      <c r="L44" s="167">
        <f>+L29</f>
        <v>0</v>
      </c>
      <c r="M44" s="113">
        <f>J44+L44-K44</f>
        <v>0</v>
      </c>
      <c r="N44" s="2"/>
      <c r="O44" s="89" t="s">
        <v>121</v>
      </c>
      <c r="P44" s="145">
        <v>0</v>
      </c>
      <c r="Q44" s="133">
        <v>0</v>
      </c>
      <c r="R44" s="146">
        <f>+IF(Q44&lt;$E$27,P44,0)</f>
        <v>0</v>
      </c>
      <c r="S44" s="165">
        <f>IF(R44="NA","NA",R44*Q44)</f>
        <v>0</v>
      </c>
      <c r="T44" s="2"/>
      <c r="U44" s="26"/>
      <c r="V44" s="2"/>
      <c r="W44" s="2"/>
      <c r="X44" s="2"/>
      <c r="Y44" s="2"/>
      <c r="Z44" s="2"/>
    </row>
    <row r="45" spans="1:26" ht="15" customHeight="1" x14ac:dyDescent="0.2">
      <c r="A45" s="2"/>
      <c r="B45" s="89" t="s">
        <v>114</v>
      </c>
      <c r="C45" s="89"/>
      <c r="D45" s="89"/>
      <c r="E45" s="164">
        <f>M36</f>
        <v>0</v>
      </c>
      <c r="F45" s="2"/>
      <c r="G45" s="89" t="s">
        <v>96</v>
      </c>
      <c r="H45" s="89"/>
      <c r="I45" s="89"/>
      <c r="J45" s="113">
        <f>+J35</f>
        <v>0</v>
      </c>
      <c r="K45" s="166">
        <f>+K35</f>
        <v>0</v>
      </c>
      <c r="L45" s="167">
        <f>+L35</f>
        <v>0</v>
      </c>
      <c r="M45" s="113">
        <f>J45+L45-K45</f>
        <v>0</v>
      </c>
      <c r="N45" s="2"/>
      <c r="O45" s="89" t="s">
        <v>122</v>
      </c>
      <c r="P45" s="168">
        <v>0</v>
      </c>
      <c r="Q45" s="169">
        <v>0</v>
      </c>
      <c r="R45" s="142">
        <f>+IF(Q45&lt;$E$27,P45,0)</f>
        <v>0</v>
      </c>
      <c r="S45" s="170">
        <f>IF(R45="NA","NA",R45*Q45)</f>
        <v>0</v>
      </c>
      <c r="T45" s="2"/>
      <c r="U45" s="2"/>
      <c r="V45" s="2"/>
      <c r="W45" s="2"/>
      <c r="X45" s="2"/>
      <c r="Y45" s="2"/>
      <c r="Z45" s="2"/>
    </row>
    <row r="46" spans="1:26" ht="12.75" customHeight="1" x14ac:dyDescent="0.2">
      <c r="A46" s="2"/>
      <c r="B46" s="89" t="s">
        <v>123</v>
      </c>
      <c r="C46" s="89"/>
      <c r="D46" s="89"/>
      <c r="E46" s="163" t="str">
        <f>IF(ISERROR(E27/M51),"NA",E27/M51)</f>
        <v>NA</v>
      </c>
      <c r="F46" s="2"/>
      <c r="G46" s="89" t="s">
        <v>124</v>
      </c>
      <c r="H46" s="89"/>
      <c r="I46" s="89"/>
      <c r="J46" s="110">
        <v>0</v>
      </c>
      <c r="K46" s="111">
        <v>0</v>
      </c>
      <c r="L46" s="112">
        <v>0</v>
      </c>
      <c r="M46" s="113">
        <f>J46+L46-K46</f>
        <v>0</v>
      </c>
      <c r="N46" s="2"/>
      <c r="O46" s="88" t="s">
        <v>125</v>
      </c>
      <c r="P46" s="154">
        <f>SUM(P41:P45)</f>
        <v>0</v>
      </c>
      <c r="Q46" s="171"/>
      <c r="R46" s="154">
        <f>SUM(R41:R45)</f>
        <v>0</v>
      </c>
      <c r="S46" s="144">
        <f>SUM(S41:S45)</f>
        <v>0</v>
      </c>
      <c r="T46" s="2"/>
      <c r="U46" s="2"/>
      <c r="V46" s="2"/>
      <c r="W46" s="2"/>
      <c r="X46" s="2"/>
      <c r="Y46" s="2"/>
      <c r="Z46" s="2"/>
    </row>
    <row r="47" spans="1:26" ht="15" customHeight="1" x14ac:dyDescent="0.2">
      <c r="A47" s="2"/>
      <c r="B47" s="89" t="s">
        <v>114</v>
      </c>
      <c r="C47" s="89"/>
      <c r="D47" s="89"/>
      <c r="E47" s="134">
        <f>M51</f>
        <v>0</v>
      </c>
      <c r="F47" s="2"/>
      <c r="G47" s="89" t="s">
        <v>126</v>
      </c>
      <c r="H47" s="89"/>
      <c r="I47" s="89"/>
      <c r="J47" s="117">
        <f>-(SUM(J44:J46)*($E$10))</f>
        <v>0</v>
      </c>
      <c r="K47" s="172">
        <f>-(SUM(K44:K46)*($E$10))</f>
        <v>0</v>
      </c>
      <c r="L47" s="173">
        <f>-(SUM(L44:L46)*($E$10))</f>
        <v>0</v>
      </c>
      <c r="M47" s="117">
        <f>-(SUM(M44:M46)*($E$10))</f>
        <v>0</v>
      </c>
      <c r="N47" s="2"/>
      <c r="O47" s="89"/>
      <c r="P47" s="89"/>
      <c r="Q47" s="89"/>
      <c r="R47" s="89"/>
      <c r="S47" s="89"/>
      <c r="T47" s="2"/>
      <c r="U47" s="2"/>
      <c r="V47" s="2"/>
      <c r="W47" s="2"/>
      <c r="X47" s="2"/>
      <c r="Y47" s="2"/>
      <c r="Z47" s="2"/>
    </row>
    <row r="48" spans="1:26" ht="15" customHeight="1" x14ac:dyDescent="0.2">
      <c r="A48" s="2"/>
      <c r="B48" s="2"/>
      <c r="C48" s="2"/>
      <c r="D48" s="2"/>
      <c r="E48" s="2"/>
      <c r="F48" s="2"/>
      <c r="G48" s="88" t="s">
        <v>127</v>
      </c>
      <c r="H48" s="89"/>
      <c r="I48" s="89"/>
      <c r="J48" s="120">
        <f>SUM(J43:J47)</f>
        <v>0</v>
      </c>
      <c r="K48" s="121">
        <f>SUM(K43:K47)</f>
        <v>0</v>
      </c>
      <c r="L48" s="122">
        <f>SUM(L43:L47)</f>
        <v>0</v>
      </c>
      <c r="M48" s="120">
        <f>SUM(M43:M47)</f>
        <v>0</v>
      </c>
      <c r="N48" s="174"/>
      <c r="O48" s="205" t="s">
        <v>128</v>
      </c>
      <c r="P48" s="200"/>
      <c r="Q48" s="200"/>
      <c r="R48" s="200"/>
      <c r="S48" s="200"/>
      <c r="T48" s="2"/>
      <c r="U48" s="2"/>
      <c r="V48" s="2"/>
      <c r="W48" s="2"/>
      <c r="X48" s="2"/>
      <c r="Y48" s="2"/>
      <c r="Z48" s="2"/>
    </row>
    <row r="49" spans="1:26" ht="15" customHeight="1" x14ac:dyDescent="0.2">
      <c r="A49" s="2"/>
      <c r="B49" s="204" t="s">
        <v>129</v>
      </c>
      <c r="C49" s="200"/>
      <c r="D49" s="200"/>
      <c r="E49" s="200"/>
      <c r="F49" s="2"/>
      <c r="G49" s="123" t="s">
        <v>86</v>
      </c>
      <c r="H49" s="123"/>
      <c r="I49" s="123"/>
      <c r="J49" s="124" t="str">
        <f>IF(ISERROR(J48/J10),"NA",J48/J10)</f>
        <v>NA</v>
      </c>
      <c r="K49" s="125" t="str">
        <f>IF(ISERROR(K48/K10),"NA",K48/K10)</f>
        <v>NA</v>
      </c>
      <c r="L49" s="126" t="str">
        <f>IF(ISERROR(L48/L10),"NA",L48/L10)</f>
        <v>NA</v>
      </c>
      <c r="M49" s="124" t="str">
        <f>IF(ISERROR(M48/M10),"NA",M48/M10)</f>
        <v>NA</v>
      </c>
      <c r="N49" s="2"/>
      <c r="O49" s="89"/>
      <c r="P49" s="92"/>
      <c r="Q49" s="92" t="s">
        <v>130</v>
      </c>
      <c r="R49" s="92" t="s">
        <v>131</v>
      </c>
      <c r="S49" s="92" t="s">
        <v>132</v>
      </c>
      <c r="T49" s="2"/>
      <c r="U49" s="2"/>
      <c r="V49" s="2"/>
      <c r="W49" s="2"/>
      <c r="X49" s="2"/>
      <c r="Y49" s="2"/>
      <c r="Z49" s="2"/>
    </row>
    <row r="50" spans="1:26" ht="15" customHeight="1" x14ac:dyDescent="0.2">
      <c r="A50" s="2"/>
      <c r="B50" s="205" t="s">
        <v>133</v>
      </c>
      <c r="C50" s="200"/>
      <c r="D50" s="200"/>
      <c r="E50" s="175" t="s">
        <v>134</v>
      </c>
      <c r="F50" s="2"/>
      <c r="G50" s="89"/>
      <c r="H50" s="89"/>
      <c r="I50" s="89"/>
      <c r="J50" s="128"/>
      <c r="K50" s="129"/>
      <c r="L50" s="130"/>
      <c r="M50" s="128"/>
      <c r="N50" s="191"/>
      <c r="O50" s="89"/>
      <c r="P50" s="97" t="s">
        <v>135</v>
      </c>
      <c r="Q50" s="175" t="s">
        <v>112</v>
      </c>
      <c r="R50" s="175" t="s">
        <v>136</v>
      </c>
      <c r="S50" s="175" t="s">
        <v>111</v>
      </c>
      <c r="T50" s="2"/>
      <c r="U50" s="2"/>
      <c r="V50" s="2"/>
      <c r="W50" s="2"/>
      <c r="X50" s="2"/>
      <c r="Y50" s="2"/>
      <c r="Z50" s="2"/>
    </row>
    <row r="51" spans="1:26" ht="12.75" customHeight="1" x14ac:dyDescent="0.2">
      <c r="A51" s="2"/>
      <c r="B51" s="89" t="s">
        <v>137</v>
      </c>
      <c r="C51" s="89"/>
      <c r="D51" s="127">
        <v>0</v>
      </c>
      <c r="E51" s="124" t="str">
        <f>IF(ISERROR($E$27/D51-1),"NA",$E$27/D51-1)</f>
        <v>NA</v>
      </c>
      <c r="F51" s="2"/>
      <c r="G51" s="89" t="s">
        <v>138</v>
      </c>
      <c r="H51" s="89"/>
      <c r="I51" s="89"/>
      <c r="J51" s="134">
        <f>IF(ISERROR(J48/J24),0,J48/J24)</f>
        <v>0</v>
      </c>
      <c r="K51" s="135">
        <f>IF(ISERROR(K48/K24),0,K48/K24)</f>
        <v>0</v>
      </c>
      <c r="L51" s="136">
        <f>IF(ISERROR(L48/L24),0,L48/L24)</f>
        <v>0</v>
      </c>
      <c r="M51" s="134">
        <f>IF(ISERROR(M48/M24),0,M48/M24)</f>
        <v>0</v>
      </c>
      <c r="N51" s="2"/>
      <c r="O51" s="89" t="s">
        <v>139</v>
      </c>
      <c r="P51" s="176">
        <v>0</v>
      </c>
      <c r="Q51" s="127">
        <v>0</v>
      </c>
      <c r="R51" s="165">
        <f>IF(ISERROR(1000/Q51),0,(1000/Q51))</f>
        <v>0</v>
      </c>
      <c r="S51" s="165">
        <f>+IF(Q51&lt;$E$27,IF(ISERROR(P51/Q51),0,P51/Q51),0)</f>
        <v>0</v>
      </c>
      <c r="T51" s="2"/>
      <c r="U51" s="2"/>
      <c r="V51" s="2"/>
      <c r="W51" s="2"/>
      <c r="X51" s="2"/>
      <c r="Y51" s="2"/>
      <c r="Z51" s="2"/>
    </row>
    <row r="52" spans="1:26" ht="15" customHeight="1" x14ac:dyDescent="0.2">
      <c r="A52" s="2"/>
      <c r="B52" s="205" t="s">
        <v>140</v>
      </c>
      <c r="C52" s="200"/>
      <c r="D52" s="200"/>
      <c r="E52" s="124"/>
      <c r="F52" s="177"/>
      <c r="G52" s="2"/>
      <c r="H52" s="2"/>
      <c r="I52" s="2"/>
      <c r="J52" s="2"/>
      <c r="K52" s="2"/>
      <c r="L52" s="2"/>
      <c r="M52" s="2"/>
      <c r="N52" s="2"/>
      <c r="O52" s="89" t="s">
        <v>141</v>
      </c>
      <c r="P52" s="178">
        <v>0</v>
      </c>
      <c r="Q52" s="133">
        <v>0</v>
      </c>
      <c r="R52" s="165">
        <f>IF(ISERROR(1000/Q52),0,(1000/Q52))</f>
        <v>0</v>
      </c>
      <c r="S52" s="165">
        <f>+IF(Q52&lt;$E$27,IF(ISERROR(P52/Q52),0,P52/Q52),0)</f>
        <v>0</v>
      </c>
      <c r="T52" s="2"/>
      <c r="U52" s="2"/>
      <c r="V52" s="2"/>
      <c r="W52" s="2"/>
      <c r="X52" s="2"/>
      <c r="Y52" s="2"/>
      <c r="Z52" s="2"/>
    </row>
    <row r="53" spans="1:26" ht="15" customHeight="1" x14ac:dyDescent="0.2">
      <c r="A53" s="2"/>
      <c r="B53" s="89" t="s">
        <v>137</v>
      </c>
      <c r="C53" s="89"/>
      <c r="D53" s="127">
        <v>0</v>
      </c>
      <c r="E53" s="124" t="str">
        <f>IF(ISERROR($E$27/D53-1),"NA",$E$27/D53-1)</f>
        <v>NA</v>
      </c>
      <c r="F53" s="2"/>
      <c r="G53" s="204" t="s">
        <v>142</v>
      </c>
      <c r="H53" s="200"/>
      <c r="I53" s="200"/>
      <c r="J53" s="200"/>
      <c r="K53" s="200"/>
      <c r="L53" s="200"/>
      <c r="M53" s="200"/>
      <c r="N53" s="2"/>
      <c r="O53" s="89" t="s">
        <v>143</v>
      </c>
      <c r="P53" s="178">
        <v>0</v>
      </c>
      <c r="Q53" s="133">
        <v>0</v>
      </c>
      <c r="R53" s="165">
        <f>IF(ISERROR(1000/Q53),0,(1000/Q53))</f>
        <v>0</v>
      </c>
      <c r="S53" s="165">
        <f>+IF(Q53&lt;$E$27,IF(ISERROR(P53/Q53),0,P53/Q53),0)</f>
        <v>0</v>
      </c>
      <c r="T53" s="2"/>
      <c r="U53" s="2"/>
      <c r="V53" s="2"/>
      <c r="W53" s="2"/>
      <c r="X53" s="2"/>
      <c r="Y53" s="2"/>
      <c r="Z53" s="2"/>
    </row>
    <row r="54" spans="1:26" ht="12.75" customHeight="1" x14ac:dyDescent="0.2">
      <c r="A54" s="2"/>
      <c r="B54" s="89" t="s">
        <v>144</v>
      </c>
      <c r="C54" s="89"/>
      <c r="D54" s="133">
        <v>0</v>
      </c>
      <c r="E54" s="124" t="str">
        <f>IF(ISERROR($E$27/D54-1),"NA",$E$27/D54-1)</f>
        <v>NA</v>
      </c>
      <c r="F54" s="2"/>
      <c r="G54" s="89" t="s">
        <v>104</v>
      </c>
      <c r="H54" s="89"/>
      <c r="I54" s="89"/>
      <c r="J54" s="110">
        <v>0</v>
      </c>
      <c r="K54" s="179">
        <v>0</v>
      </c>
      <c r="L54" s="180">
        <v>0</v>
      </c>
      <c r="M54" s="113">
        <f>J54+L54-K54</f>
        <v>0</v>
      </c>
      <c r="N54" s="2"/>
      <c r="O54" s="89" t="s">
        <v>145</v>
      </c>
      <c r="P54" s="178">
        <v>0</v>
      </c>
      <c r="Q54" s="133">
        <v>0</v>
      </c>
      <c r="R54" s="165">
        <f>IF(ISERROR(1000/Q54),0,(1000/Q54))</f>
        <v>0</v>
      </c>
      <c r="S54" s="165">
        <f>+IF(Q54&lt;$E$27,IF(ISERROR(P54/Q54),0,P54/Q54),0)</f>
        <v>0</v>
      </c>
      <c r="T54" s="2"/>
      <c r="U54" s="2"/>
      <c r="V54" s="2"/>
      <c r="W54" s="2"/>
      <c r="X54" s="2"/>
      <c r="Y54" s="2"/>
      <c r="Z54" s="2"/>
    </row>
    <row r="55" spans="1:26" ht="15" customHeight="1" x14ac:dyDescent="0.2">
      <c r="A55" s="2"/>
      <c r="B55" s="89" t="s">
        <v>146</v>
      </c>
      <c r="C55" s="89"/>
      <c r="D55" s="133">
        <v>0</v>
      </c>
      <c r="E55" s="124" t="str">
        <f>IF(ISERROR($E$27/D55-1),"NA",$E$27/D55-1)</f>
        <v>NA</v>
      </c>
      <c r="F55" s="2"/>
      <c r="G55" s="123" t="s">
        <v>147</v>
      </c>
      <c r="H55" s="123"/>
      <c r="I55" s="123"/>
      <c r="J55" s="192" t="str">
        <f>IF(ISERROR(J54/J10),"NA",J54/J10)</f>
        <v>NA</v>
      </c>
      <c r="K55" s="193" t="str">
        <f>IF(ISERROR(K54/K10),"NA",K54/K10)</f>
        <v>NA</v>
      </c>
      <c r="L55" s="194" t="str">
        <f>IF(ISERROR(L54/L10),"NA",L54/L10)</f>
        <v>NA</v>
      </c>
      <c r="M55" s="192" t="str">
        <f>IF(ISERROR(M54/M10),"NA",M54/M10)</f>
        <v>NA</v>
      </c>
      <c r="N55" s="2"/>
      <c r="O55" s="89" t="s">
        <v>148</v>
      </c>
      <c r="P55" s="181">
        <v>0</v>
      </c>
      <c r="Q55" s="169">
        <v>0</v>
      </c>
      <c r="R55" s="170">
        <f>IF(ISERROR(1000/Q55),0,(1000/Q55))</f>
        <v>0</v>
      </c>
      <c r="S55" s="170">
        <f>+IF(Q55&lt;$E$27,IF(ISERROR(P55/Q55),0,P55/Q55),0)</f>
        <v>0</v>
      </c>
      <c r="T55" s="2"/>
      <c r="U55" s="2"/>
      <c r="V55" s="2"/>
      <c r="W55" s="2"/>
      <c r="X55" s="2"/>
      <c r="Y55" s="2"/>
      <c r="Z55" s="2"/>
    </row>
    <row r="56" spans="1:26" ht="15" customHeight="1" x14ac:dyDescent="0.2">
      <c r="A56" s="2"/>
      <c r="B56" s="2"/>
      <c r="C56" s="2"/>
      <c r="D56" s="2"/>
      <c r="E56" s="2"/>
      <c r="F56" s="177"/>
      <c r="G56" s="89" t="s">
        <v>149</v>
      </c>
      <c r="H56" s="89"/>
      <c r="I56" s="89"/>
      <c r="J56" s="110">
        <v>0</v>
      </c>
      <c r="K56" s="111">
        <v>0</v>
      </c>
      <c r="L56" s="112">
        <v>0</v>
      </c>
      <c r="M56" s="113">
        <f>J56+L56-K56</f>
        <v>0</v>
      </c>
      <c r="N56" s="2"/>
      <c r="O56" s="88" t="s">
        <v>125</v>
      </c>
      <c r="P56" s="182"/>
      <c r="Q56" s="195"/>
      <c r="R56" s="182"/>
      <c r="S56" s="154">
        <f>SUM(S51:S55)</f>
        <v>0</v>
      </c>
      <c r="T56" s="2"/>
      <c r="U56" s="2"/>
      <c r="V56" s="2"/>
      <c r="W56" s="2"/>
      <c r="X56" s="2"/>
      <c r="Y56" s="2"/>
      <c r="Z56" s="2"/>
    </row>
    <row r="57" spans="1:26" ht="15" customHeight="1" x14ac:dyDescent="0.2">
      <c r="A57" s="2"/>
      <c r="B57" s="204" t="s">
        <v>150</v>
      </c>
      <c r="C57" s="200"/>
      <c r="D57" s="200"/>
      <c r="E57" s="200"/>
      <c r="F57" s="2"/>
      <c r="G57" s="123" t="s">
        <v>147</v>
      </c>
      <c r="H57" s="123"/>
      <c r="I57" s="123"/>
      <c r="J57" s="192" t="str">
        <f>IF(ISERROR(J56/J10),"NA",J56/J10)</f>
        <v>NA</v>
      </c>
      <c r="K57" s="196" t="str">
        <f>IF(ISERROR(K56/K10),"NA",K56/K10)</f>
        <v>NA</v>
      </c>
      <c r="L57" s="197" t="str">
        <f>IF(ISERROR(L56/L10),"NA",L56/L10)</f>
        <v>NA</v>
      </c>
      <c r="M57" s="192" t="str">
        <f>IF(ISERROR(M56/M10),"NA",M56/M10)</f>
        <v>NA</v>
      </c>
      <c r="N57" s="2"/>
      <c r="O57" s="88"/>
      <c r="P57" s="182"/>
      <c r="Q57" s="195"/>
      <c r="R57" s="182"/>
      <c r="S57" s="154"/>
      <c r="T57" s="2"/>
      <c r="U57" s="2"/>
      <c r="V57" s="2"/>
      <c r="W57" s="2"/>
      <c r="X57" s="2"/>
      <c r="Y57" s="2"/>
      <c r="Z57" s="2"/>
    </row>
    <row r="58" spans="1:26" ht="15" customHeight="1" x14ac:dyDescent="0.2">
      <c r="A58" s="2"/>
      <c r="B58" s="89"/>
      <c r="C58" s="89"/>
      <c r="D58" s="175" t="s">
        <v>151</v>
      </c>
      <c r="E58" s="175" t="s">
        <v>152</v>
      </c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" customHeight="1" x14ac:dyDescent="0.2">
      <c r="A59" s="2"/>
      <c r="B59" s="89" t="str">
        <f>""&amp;E7&amp;" 10-K"</f>
        <v>Target 10 10-K</v>
      </c>
      <c r="C59" s="109"/>
      <c r="D59" s="183">
        <v>0</v>
      </c>
      <c r="E59" s="183">
        <v>0</v>
      </c>
      <c r="F59" s="2"/>
      <c r="G59" s="204" t="s">
        <v>153</v>
      </c>
      <c r="H59" s="200"/>
      <c r="I59" s="200"/>
      <c r="J59" s="200"/>
      <c r="K59" s="200"/>
      <c r="L59" s="200"/>
      <c r="M59" s="200"/>
      <c r="N59" s="200"/>
      <c r="O59" s="200"/>
      <c r="P59" s="200"/>
      <c r="Q59" s="200"/>
      <c r="R59" s="200"/>
      <c r="S59" s="200"/>
      <c r="T59" s="2"/>
      <c r="U59" s="2"/>
      <c r="V59" s="2"/>
      <c r="W59" s="2"/>
      <c r="X59" s="2"/>
      <c r="Y59" s="2"/>
      <c r="Z59" s="2"/>
    </row>
    <row r="60" spans="1:26" ht="12.75" customHeight="1" x14ac:dyDescent="0.2">
      <c r="A60" s="2"/>
      <c r="B60" s="89" t="str">
        <f>""&amp;E7&amp;" 10-Q"</f>
        <v>Target 10 10-Q</v>
      </c>
      <c r="C60" s="109"/>
      <c r="D60" s="183">
        <v>0</v>
      </c>
      <c r="E60" s="183">
        <v>0</v>
      </c>
      <c r="F60" s="2"/>
      <c r="G60" s="184" t="s">
        <v>154</v>
      </c>
      <c r="H60" s="90"/>
      <c r="I60" s="90"/>
      <c r="J60" s="185"/>
      <c r="K60" s="90"/>
      <c r="L60" s="90"/>
      <c r="M60" s="90"/>
      <c r="N60" s="90"/>
      <c r="O60" s="90"/>
      <c r="P60" s="90"/>
      <c r="Q60" s="90"/>
      <c r="R60" s="90"/>
      <c r="S60" s="90"/>
      <c r="T60" s="2"/>
      <c r="U60" s="2"/>
      <c r="V60" s="2"/>
      <c r="W60" s="2"/>
      <c r="X60" s="2"/>
      <c r="Y60" s="2"/>
      <c r="Z60" s="2"/>
    </row>
    <row r="61" spans="1:26" ht="12.75" customHeight="1" x14ac:dyDescent="0.2">
      <c r="A61" s="2"/>
      <c r="B61" s="89" t="str">
        <f>""&amp;E7&amp;" 8-K"</f>
        <v>Target 10 8-K</v>
      </c>
      <c r="C61" s="109"/>
      <c r="D61" s="186"/>
      <c r="E61" s="183">
        <v>0</v>
      </c>
      <c r="F61" s="2"/>
      <c r="G61" s="184" t="s">
        <v>155</v>
      </c>
      <c r="H61" s="90"/>
      <c r="I61" s="90"/>
      <c r="J61" s="185"/>
      <c r="K61" s="90"/>
      <c r="L61" s="90"/>
      <c r="M61" s="90"/>
      <c r="N61" s="90"/>
      <c r="O61" s="90"/>
      <c r="P61" s="90"/>
      <c r="Q61" s="90"/>
      <c r="R61" s="90"/>
      <c r="S61" s="90"/>
      <c r="T61" s="2"/>
      <c r="U61" s="2"/>
      <c r="V61" s="2"/>
      <c r="W61" s="2"/>
      <c r="X61" s="2"/>
      <c r="Y61" s="2"/>
      <c r="Z61" s="2"/>
    </row>
    <row r="62" spans="1:26" ht="15" customHeight="1" x14ac:dyDescent="0.2">
      <c r="A62" s="25"/>
      <c r="B62" s="89" t="str">
        <f>""&amp;E7&amp;" DEFM14A"</f>
        <v>Target 10 DEFM14A</v>
      </c>
      <c r="C62" s="109"/>
      <c r="D62" s="186"/>
      <c r="E62" s="183">
        <v>0</v>
      </c>
      <c r="F62" s="2"/>
      <c r="G62" s="184" t="s">
        <v>156</v>
      </c>
      <c r="H62" s="90"/>
      <c r="I62" s="90"/>
      <c r="J62" s="90"/>
      <c r="K62" s="90"/>
      <c r="L62" s="90"/>
      <c r="M62" s="90"/>
      <c r="N62" s="90"/>
      <c r="O62" s="90"/>
      <c r="P62" s="90"/>
      <c r="Q62" s="90"/>
      <c r="R62" s="90"/>
      <c r="S62" s="90"/>
      <c r="T62" s="187"/>
      <c r="U62" s="187"/>
      <c r="V62" s="2"/>
      <c r="W62" s="2"/>
      <c r="X62" s="2"/>
      <c r="Y62" s="2"/>
      <c r="Z62" s="2"/>
    </row>
    <row r="63" spans="1:26" ht="12.75" customHeight="1" x14ac:dyDescent="0.2">
      <c r="A63" s="2"/>
      <c r="B63" s="89" t="str">
        <f>""&amp;E12&amp;" 424B"</f>
        <v>Acquirer 10 424B</v>
      </c>
      <c r="C63" s="89"/>
      <c r="D63" s="186"/>
      <c r="E63" s="183">
        <v>0</v>
      </c>
      <c r="F63" s="2"/>
      <c r="G63" s="184" t="s">
        <v>157</v>
      </c>
      <c r="H63" s="90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25"/>
      <c r="U63" s="25"/>
      <c r="V63" s="2"/>
      <c r="W63" s="2"/>
      <c r="X63" s="2"/>
      <c r="Y63" s="2"/>
      <c r="Z63" s="2"/>
    </row>
    <row r="64" spans="1:26" ht="12.75" customHeight="1" x14ac:dyDescent="0.2">
      <c r="A64" s="2"/>
      <c r="B64" s="89" t="str">
        <f>""&amp;E12&amp;" 8-K"</f>
        <v>Acquirer 10 8-K</v>
      </c>
      <c r="C64" s="89"/>
      <c r="D64" s="186"/>
      <c r="E64" s="183">
        <v>0</v>
      </c>
      <c r="F64" s="2"/>
      <c r="G64" s="90" t="s">
        <v>158</v>
      </c>
      <c r="H64" s="90"/>
      <c r="I64" s="90"/>
      <c r="J64" s="90"/>
      <c r="K64" s="90"/>
      <c r="L64" s="90"/>
      <c r="M64" s="90"/>
      <c r="N64" s="90"/>
      <c r="O64" s="90"/>
      <c r="P64" s="90"/>
      <c r="Q64" s="90"/>
      <c r="R64" s="90"/>
      <c r="S64" s="90"/>
      <c r="T64" s="25"/>
      <c r="U64" s="25"/>
      <c r="V64" s="2"/>
      <c r="W64" s="2"/>
      <c r="X64" s="2"/>
      <c r="Y64" s="2"/>
      <c r="Z64" s="2"/>
    </row>
    <row r="65" spans="1:26" ht="12.75" customHeight="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customHeight="1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customHeight="1" x14ac:dyDescent="0.2">
      <c r="A67" s="2"/>
      <c r="B67" s="2"/>
      <c r="C67" s="2"/>
      <c r="D67" s="2"/>
      <c r="E67" s="188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customHeight="1" x14ac:dyDescent="0.2">
      <c r="A68" s="2"/>
      <c r="B68" s="2"/>
      <c r="C68" s="2"/>
      <c r="D68" s="2"/>
      <c r="E68" s="188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customHeight="1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" customHeight="1" x14ac:dyDescent="0.2">
      <c r="A70" s="2"/>
      <c r="B70" s="2"/>
      <c r="C70" s="2"/>
      <c r="D70" s="2"/>
      <c r="E70" s="2"/>
      <c r="F70" s="2"/>
      <c r="G70" s="189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customHeight="1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customHeight="1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customHeight="1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customHeight="1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customHeight="1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customHeight="1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customHeight="1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customHeight="1" x14ac:dyDescent="0.2">
      <c r="A78" s="2"/>
      <c r="B78" s="2"/>
      <c r="C78" s="2"/>
      <c r="D78" s="198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customHeight="1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customHeight="1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customHeight="1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customHeight="1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customHeight="1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customHeight="1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customHeight="1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customHeight="1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customHeight="1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customHeight="1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customHeight="1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customHeight="1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customHeight="1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customHeight="1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customHeight="1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customHeight="1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customHeight="1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customHeight="1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customHeight="1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customHeight="1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customHeight="1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customHeight="1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customHeight="1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customHeight="1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customHeight="1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customHeight="1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customHeight="1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customHeight="1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customHeight="1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customHeight="1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customHeight="1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customHeight="1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customHeight="1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customHeight="1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customHeight="1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customHeight="1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customHeight="1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customHeight="1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customHeight="1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customHeight="1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customHeight="1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customHeight="1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customHeight="1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customHeight="1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customHeight="1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customHeight="1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customHeight="1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customHeight="1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customHeight="1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customHeight="1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customHeight="1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customHeight="1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customHeight="1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customHeight="1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customHeight="1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customHeight="1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customHeight="1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customHeight="1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customHeight="1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customHeight="1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customHeight="1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customHeight="1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customHeight="1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customHeight="1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customHeight="1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customHeight="1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customHeight="1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customHeight="1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customHeight="1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customHeight="1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customHeight="1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customHeight="1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customHeight="1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customHeight="1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customHeight="1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customHeight="1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customHeight="1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customHeight="1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customHeight="1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customHeight="1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customHeight="1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customHeight="1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customHeight="1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customHeight="1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customHeight="1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customHeight="1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customHeight="1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customHeight="1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customHeight="1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customHeight="1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customHeight="1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customHeight="1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customHeight="1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customHeight="1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customHeight="1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customHeight="1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customHeight="1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customHeight="1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customHeight="1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customHeight="1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customHeight="1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customHeight="1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customHeight="1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customHeight="1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customHeight="1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customHeight="1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customHeight="1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customHeight="1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customHeight="1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customHeight="1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customHeight="1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customHeight="1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customHeight="1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customHeight="1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customHeight="1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customHeight="1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customHeight="1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customHeight="1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customHeight="1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customHeight="1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customHeight="1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customHeight="1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customHeight="1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customHeight="1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customHeight="1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customHeight="1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customHeight="1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customHeight="1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customHeight="1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customHeight="1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customHeight="1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customHeight="1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customHeight="1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customHeight="1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customHeight="1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customHeight="1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customHeight="1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customHeight="1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customHeight="1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customHeight="1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customHeight="1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customHeight="1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customHeight="1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customHeight="1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customHeight="1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customHeight="1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customHeight="1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customHeight="1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customHeight="1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customHeight="1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customHeight="1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customHeight="1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customHeight="1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customHeight="1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customHeight="1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customHeight="1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customHeight="1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customHeight="1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customHeight="1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customHeight="1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customHeight="1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customHeight="1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customHeight="1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customHeight="1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customHeight="1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customHeight="1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customHeight="1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customHeight="1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customHeight="1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customHeight="1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customHeight="1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customHeigh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customHeigh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customHeight="1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customHeight="1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customHeight="1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customHeight="1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customHeight="1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customHeight="1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customHeight="1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customHeight="1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customHeight="1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customHeight="1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customHeight="1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customHeight="1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customHeight="1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customHeight="1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customHeight="1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customHeight="1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customHeight="1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customHeight="1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customHeight="1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customHeight="1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customHeight="1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customHeight="1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customHeight="1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customHeight="1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customHeight="1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customHeight="1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customHeight="1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customHeight="1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customHeight="1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customHeight="1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customHeight="1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customHeight="1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customHeight="1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customHeight="1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customHeight="1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customHeight="1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customHeight="1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customHeight="1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customHeight="1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customHeight="1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customHeight="1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customHeight="1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customHeight="1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customHeight="1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customHeight="1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customHeight="1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customHeight="1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customHeight="1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customHeight="1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customHeight="1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customHeight="1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customHeight="1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customHeight="1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customHeight="1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customHeight="1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customHeight="1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customHeight="1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customHeight="1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customHeight="1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customHeight="1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customHeight="1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customHeight="1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customHeight="1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customHeight="1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customHeight="1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customHeight="1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customHeight="1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customHeight="1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customHeight="1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customHeight="1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customHeight="1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customHeight="1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customHeight="1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customHeight="1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customHeight="1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customHeight="1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customHeight="1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customHeight="1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customHeight="1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customHeight="1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customHeight="1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customHeight="1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customHeight="1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customHeight="1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customHeight="1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customHeight="1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customHeight="1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customHeight="1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customHeight="1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customHeight="1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customHeight="1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customHeight="1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customHeight="1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customHeight="1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customHeight="1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customHeight="1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customHeight="1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customHeight="1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customHeight="1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customHeight="1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customHeight="1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customHeight="1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customHeight="1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customHeight="1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customHeight="1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customHeight="1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customHeight="1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customHeight="1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customHeight="1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customHeight="1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customHeight="1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customHeight="1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customHeight="1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customHeight="1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customHeight="1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customHeight="1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customHeight="1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customHeight="1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customHeight="1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customHeight="1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customHeight="1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customHeight="1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customHeight="1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customHeight="1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customHeight="1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customHeight="1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customHeight="1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customHeight="1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customHeight="1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customHeight="1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customHeight="1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customHeight="1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customHeight="1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customHeight="1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customHeight="1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customHeight="1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customHeight="1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customHeight="1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customHeight="1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customHeight="1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customHeight="1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customHeight="1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customHeight="1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customHeight="1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customHeight="1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customHeight="1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customHeight="1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customHeight="1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customHeight="1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customHeight="1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customHeight="1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customHeight="1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customHeight="1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customHeight="1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customHeight="1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customHeight="1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customHeight="1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customHeight="1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customHeight="1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customHeight="1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customHeight="1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customHeight="1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customHeight="1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customHeight="1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customHeight="1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customHeight="1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customHeight="1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customHeight="1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customHeight="1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customHeight="1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customHeight="1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customHeight="1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customHeight="1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customHeight="1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customHeight="1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customHeight="1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customHeight="1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customHeight="1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customHeight="1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customHeight="1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customHeight="1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customHeight="1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customHeight="1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customHeight="1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customHeight="1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customHeight="1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customHeight="1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customHeight="1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customHeight="1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customHeight="1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customHeight="1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customHeight="1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customHeight="1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customHeight="1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customHeight="1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customHeight="1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customHeight="1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customHeight="1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customHeight="1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customHeight="1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customHeight="1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customHeight="1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customHeight="1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customHeight="1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customHeight="1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customHeight="1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customHeight="1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customHeight="1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customHeight="1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customHeight="1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customHeight="1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customHeight="1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customHeight="1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customHeight="1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customHeight="1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customHeight="1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customHeight="1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customHeight="1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customHeight="1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customHeight="1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customHeight="1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customHeight="1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customHeight="1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customHeight="1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customHeight="1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customHeight="1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customHeight="1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customHeight="1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customHeight="1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customHeight="1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customHeight="1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customHeight="1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customHeight="1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customHeight="1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customHeight="1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customHeight="1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customHeight="1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customHeight="1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customHeight="1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customHeight="1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customHeight="1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customHeight="1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customHeight="1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customHeight="1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customHeight="1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customHeight="1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customHeight="1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customHeight="1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customHeight="1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customHeight="1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customHeight="1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customHeight="1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customHeight="1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customHeight="1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customHeight="1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customHeight="1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customHeight="1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customHeight="1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customHeight="1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customHeight="1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customHeight="1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customHeight="1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customHeight="1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customHeight="1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customHeight="1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customHeight="1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customHeight="1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customHeight="1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customHeight="1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customHeight="1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customHeight="1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customHeight="1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customHeight="1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customHeight="1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customHeight="1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customHeight="1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customHeight="1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customHeight="1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customHeight="1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customHeight="1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customHeight="1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customHeight="1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customHeight="1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customHeight="1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customHeight="1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customHeight="1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customHeight="1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customHeight="1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customHeight="1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customHeight="1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customHeight="1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customHeight="1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customHeight="1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customHeight="1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customHeight="1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customHeight="1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customHeight="1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customHeight="1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customHeight="1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customHeight="1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customHeight="1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customHeight="1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customHeight="1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customHeight="1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customHeight="1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customHeight="1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customHeight="1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customHeight="1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customHeight="1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customHeight="1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customHeight="1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customHeight="1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customHeight="1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customHeight="1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customHeight="1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customHeight="1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customHeight="1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customHeight="1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customHeight="1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customHeight="1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customHeight="1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customHeight="1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customHeight="1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customHeight="1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customHeight="1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customHeight="1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customHeight="1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customHeight="1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customHeight="1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customHeight="1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customHeight="1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customHeight="1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customHeight="1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customHeight="1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customHeight="1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customHeight="1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customHeight="1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customHeight="1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customHeight="1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customHeight="1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customHeight="1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customHeight="1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customHeight="1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customHeight="1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customHeight="1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customHeight="1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customHeight="1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customHeight="1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customHeight="1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customHeight="1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customHeight="1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customHeight="1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customHeight="1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customHeight="1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customHeight="1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customHeight="1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customHeight="1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customHeight="1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customHeight="1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customHeight="1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customHeight="1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customHeight="1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customHeight="1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customHeight="1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customHeight="1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customHeight="1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customHeight="1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customHeight="1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customHeight="1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customHeight="1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customHeight="1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customHeight="1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customHeight="1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customHeight="1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customHeight="1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customHeight="1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customHeight="1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customHeight="1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customHeight="1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customHeight="1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customHeight="1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customHeight="1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customHeight="1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customHeight="1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customHeight="1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customHeight="1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customHeight="1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customHeight="1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customHeight="1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customHeight="1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customHeight="1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customHeight="1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customHeight="1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customHeight="1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customHeight="1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customHeight="1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customHeight="1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customHeight="1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customHeight="1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customHeight="1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customHeight="1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customHeight="1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customHeight="1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customHeight="1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customHeight="1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customHeight="1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customHeight="1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customHeight="1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customHeight="1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customHeight="1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customHeight="1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customHeight="1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customHeight="1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customHeight="1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customHeight="1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customHeight="1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customHeight="1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customHeight="1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customHeight="1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customHeight="1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customHeight="1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customHeight="1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customHeight="1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customHeight="1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customHeight="1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customHeight="1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customHeight="1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customHeight="1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customHeight="1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customHeight="1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customHeight="1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customHeight="1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customHeight="1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customHeight="1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customHeight="1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customHeight="1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customHeight="1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customHeight="1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customHeight="1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customHeight="1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customHeight="1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customHeight="1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customHeight="1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customHeight="1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customHeight="1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customHeight="1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customHeight="1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customHeight="1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customHeight="1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customHeight="1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customHeight="1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customHeight="1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customHeight="1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customHeight="1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customHeight="1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customHeight="1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customHeight="1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customHeight="1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customHeight="1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customHeight="1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customHeight="1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customHeight="1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customHeight="1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customHeight="1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customHeight="1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customHeight="1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customHeight="1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customHeight="1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customHeight="1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customHeight="1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customHeight="1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customHeight="1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customHeight="1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customHeight="1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customHeight="1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customHeight="1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customHeight="1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customHeight="1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customHeight="1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customHeight="1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customHeight="1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customHeight="1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customHeight="1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customHeight="1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customHeight="1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customHeight="1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customHeight="1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customHeight="1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customHeight="1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customHeight="1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customHeight="1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customHeight="1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customHeight="1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customHeight="1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customHeight="1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customHeight="1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customHeight="1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customHeight="1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customHeight="1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customHeight="1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customHeight="1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customHeight="1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customHeight="1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customHeight="1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customHeight="1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customHeight="1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customHeight="1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customHeight="1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customHeight="1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customHeight="1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customHeight="1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customHeight="1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customHeight="1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customHeight="1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customHeight="1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customHeight="1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customHeight="1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customHeight="1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customHeight="1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customHeight="1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customHeight="1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customHeight="1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customHeight="1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customHeight="1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customHeight="1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customHeight="1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customHeight="1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customHeight="1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customHeight="1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customHeight="1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customHeight="1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customHeight="1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customHeight="1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customHeight="1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customHeight="1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customHeight="1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customHeight="1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customHeight="1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customHeight="1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customHeight="1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customHeight="1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customHeight="1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customHeight="1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customHeight="1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customHeight="1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customHeight="1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customHeight="1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customHeight="1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customHeight="1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customHeight="1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customHeight="1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customHeight="1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customHeight="1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customHeight="1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customHeight="1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customHeight="1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customHeight="1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customHeight="1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customHeight="1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customHeight="1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customHeight="1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customHeight="1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customHeight="1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customHeight="1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customHeight="1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customHeight="1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customHeight="1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customHeight="1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customHeight="1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customHeight="1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customHeight="1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customHeight="1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customHeight="1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customHeight="1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customHeight="1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customHeight="1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customHeight="1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customHeight="1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customHeight="1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customHeight="1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customHeight="1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customHeight="1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customHeight="1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customHeight="1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customHeight="1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customHeight="1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customHeight="1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customHeight="1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customHeight="1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customHeight="1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customHeight="1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customHeight="1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customHeight="1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customHeight="1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customHeight="1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customHeight="1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customHeight="1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customHeight="1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customHeight="1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customHeight="1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customHeight="1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customHeight="1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customHeight="1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customHeight="1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customHeight="1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customHeight="1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customHeight="1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customHeight="1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customHeight="1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customHeight="1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customHeight="1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customHeight="1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customHeight="1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customHeight="1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customHeight="1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customHeight="1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customHeight="1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customHeight="1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3">
    <mergeCell ref="G59:S59"/>
    <mergeCell ref="O22:S22"/>
    <mergeCell ref="B22:E22"/>
    <mergeCell ref="G27:M27"/>
    <mergeCell ref="O7:S12"/>
    <mergeCell ref="B50:D50"/>
    <mergeCell ref="B21:E21"/>
    <mergeCell ref="O23:S28"/>
    <mergeCell ref="B39:E39"/>
    <mergeCell ref="G53:M53"/>
    <mergeCell ref="B57:E57"/>
    <mergeCell ref="O48:S48"/>
    <mergeCell ref="O15:S20"/>
    <mergeCell ref="O38:S38"/>
    <mergeCell ref="B52:D52"/>
    <mergeCell ref="O14:S14"/>
    <mergeCell ref="B49:E49"/>
    <mergeCell ref="B6:E6"/>
    <mergeCell ref="O6:S6"/>
    <mergeCell ref="O30:S30"/>
    <mergeCell ref="B32:E32"/>
    <mergeCell ref="G6:M6"/>
    <mergeCell ref="G9:H9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List</vt:lpstr>
      <vt:lpstr>Output</vt:lpstr>
      <vt:lpstr>ACQR;TRGT 1</vt:lpstr>
      <vt:lpstr>ACQR;TRGT 2</vt:lpstr>
      <vt:lpstr>ACQR;TRGT 3</vt:lpstr>
      <vt:lpstr>ACQR;TRGT 4</vt:lpstr>
      <vt:lpstr>ACQR;TRGT 5</vt:lpstr>
      <vt:lpstr>ACQR;TRGT 6</vt:lpstr>
      <vt:lpstr>ACQR;TRGT 7</vt:lpstr>
      <vt:lpstr>ACQR;TRGT 8</vt:lpstr>
      <vt:lpstr>ACQR;TRGT 9</vt:lpstr>
      <vt:lpstr>ACQR;TRGT 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Mansolillo, Chris</dc:creator>
  <cp:lastModifiedBy>Nguyễn Vũ Trường Huy</cp:lastModifiedBy>
  <dcterms:created xsi:type="dcterms:W3CDTF">2008-11-06T16:30:05Z</dcterms:created>
  <dcterms:modified xsi:type="dcterms:W3CDTF">2026-06-11T05:36:45Z</dcterms:modified>
</cp:coreProperties>
</file>