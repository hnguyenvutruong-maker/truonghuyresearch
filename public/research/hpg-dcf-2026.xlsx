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Forecast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x"/>
  </numFmts>
  <fonts count="9">
    <font>
      <name val="Calibri"/>
      <family val="2"/>
      <color theme="1"/>
      <sz val="11"/>
      <scheme val="minor"/>
    </font>
    <font>
      <name val="Arial"/>
      <b val="1"/>
      <color rgb="00F0A500"/>
      <sz val="18"/>
    </font>
    <font>
      <name val="Arial"/>
      <i val="1"/>
      <color rgb="008B949E"/>
      <sz val="10"/>
    </font>
    <font>
      <name val="Arial"/>
      <b val="1"/>
      <color rgb="00F0F6FC"/>
    </font>
    <font>
      <name val="Arial"/>
      <b val="1"/>
    </font>
    <font>
      <name val="Arial"/>
      <color rgb="00008000"/>
    </font>
    <font>
      <name val="Arial"/>
      <b val="1"/>
      <color rgb="00F0A500"/>
    </font>
    <font>
      <name val="Arial"/>
      <color rgb="000000FF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top style="medium">
        <color rgb="00F0A500"/>
      </top>
    </border>
    <border>
      <top style="thin">
        <color rgb="0030363D"/>
      </top>
      <bottom style="thin">
        <color rgb="0030363D"/>
      </bottom>
    </border>
    <border>
      <bottom style="thin">
        <color rgb="0030363D"/>
      </bottom>
    </border>
    <border>
      <left/>
      <right/>
      <top/>
      <bottom style="thin">
        <color rgb="0030363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7" fillId="4" borderId="3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/>
    </xf>
    <xf numFmtId="164" fontId="7" fillId="4" borderId="3" applyAlignment="1" pivotButton="0" quotePrefix="0" xfId="0">
      <alignment vertical="center"/>
    </xf>
    <xf numFmtId="3" fontId="7" fillId="4" borderId="3" applyAlignment="1" pivotButton="0" quotePrefix="0" xfId="0">
      <alignment vertical="center"/>
    </xf>
    <xf numFmtId="165" fontId="0" fillId="0" borderId="3" applyAlignment="1" pivotButton="0" quotePrefix="0" xfId="0">
      <alignment vertical="center"/>
    </xf>
    <xf numFmtId="165" fontId="8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8" fillId="0" borderId="3" applyAlignment="1" pivotButton="0" quotePrefix="0" xfId="0">
      <alignment vertical="center"/>
    </xf>
    <xf numFmtId="3" fontId="8" fillId="0" borderId="3" applyAlignment="1" pivotButton="0" quotePrefix="0" xfId="0">
      <alignment vertical="center"/>
    </xf>
    <xf numFmtId="164" fontId="3" fillId="3" borderId="3" applyAlignment="1" pivotButton="0" quotePrefix="0" xfId="0">
      <alignment horizontal="center" vertical="center"/>
    </xf>
    <xf numFmtId="166" fontId="8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70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Hoa Phat Group (HPG) - FCFF DCF Model</t>
        </is>
      </c>
      <c r="C2" s="21" t="n"/>
      <c r="D2" s="21" t="n"/>
      <c r="E2" s="21" t="n"/>
      <c r="F2" s="21" t="n"/>
      <c r="G2" s="21" t="n"/>
      <c r="H2" s="21" t="n"/>
    </row>
    <row r="3">
      <c r="A3" s="1" t="n"/>
      <c r="B3" s="3" t="inlineStr">
        <is>
          <t>Academic equity research model | Prepared by Nguyen Vu Truong Huy | 11 Jun 2026</t>
        </is>
      </c>
      <c r="C3" s="21" t="n"/>
      <c r="D3" s="21" t="n"/>
      <c r="E3" s="21" t="n"/>
      <c r="F3" s="21" t="n"/>
      <c r="G3" s="21" t="n"/>
      <c r="H3" s="2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Model Snapshot</t>
        </is>
      </c>
      <c r="C5" s="1" t="n"/>
      <c r="D5" s="1" t="n"/>
      <c r="E5" s="1" t="n"/>
      <c r="F5" s="1" t="n"/>
      <c r="G5" s="1" t="n"/>
      <c r="H5" s="1" t="n"/>
    </row>
    <row r="6">
      <c r="A6" s="1" t="n"/>
      <c r="B6" s="5" t="inlineStr">
        <is>
          <t>Ticker</t>
        </is>
      </c>
      <c r="C6" s="1" t="inlineStr">
        <is>
          <t>HPG VN</t>
        </is>
      </c>
      <c r="D6" s="1" t="n"/>
      <c r="E6" s="1" t="n"/>
      <c r="F6" s="1" t="n"/>
      <c r="G6" s="1" t="n"/>
      <c r="H6" s="1" t="n"/>
    </row>
    <row r="7">
      <c r="A7" s="1" t="n"/>
      <c r="B7" s="5" t="inlineStr">
        <is>
          <t>Company</t>
        </is>
      </c>
      <c r="C7" s="1" t="inlineStr">
        <is>
          <t>Hoa Phat Group JSC</t>
        </is>
      </c>
      <c r="D7" s="1" t="n"/>
      <c r="E7" s="1" t="n"/>
      <c r="F7" s="1" t="n"/>
      <c r="G7" s="1" t="n"/>
      <c r="H7" s="1" t="n"/>
    </row>
    <row r="8">
      <c r="A8" s="1" t="n"/>
      <c r="B8" s="5" t="inlineStr">
        <is>
          <t>Exchange</t>
        </is>
      </c>
      <c r="C8" s="1" t="inlineStr">
        <is>
          <t>HOSE</t>
        </is>
      </c>
      <c r="D8" s="1" t="n"/>
      <c r="E8" s="1" t="n"/>
      <c r="F8" s="1" t="n"/>
      <c r="G8" s="1" t="n"/>
      <c r="H8" s="1" t="n"/>
    </row>
    <row r="9">
      <c r="A9" s="1" t="n"/>
      <c r="B9" s="5" t="inlineStr">
        <is>
          <t>Sector</t>
        </is>
      </c>
      <c r="C9" s="1" t="inlineStr">
        <is>
          <t>Steel &amp; Industrial Materials</t>
        </is>
      </c>
      <c r="D9" s="1" t="n"/>
      <c r="E9" s="1" t="n"/>
      <c r="F9" s="1" t="n"/>
      <c r="G9" s="1" t="n"/>
      <c r="H9" s="1" t="n"/>
    </row>
    <row r="10">
      <c r="A10" s="1" t="n"/>
      <c r="B10" s="5" t="inlineStr">
        <is>
          <t>Recommendation</t>
        </is>
      </c>
      <c r="C10" s="1" t="inlineStr">
        <is>
          <t>BUY</t>
        </is>
      </c>
      <c r="D10" s="1" t="n"/>
      <c r="E10" s="1" t="n"/>
      <c r="F10" s="1" t="n"/>
      <c r="G10" s="1" t="n"/>
      <c r="H10" s="1" t="n"/>
    </row>
    <row r="11">
      <c r="A11" s="1" t="n"/>
      <c r="B11" s="5" t="inlineStr">
        <is>
          <t>Base-case target price</t>
        </is>
      </c>
      <c r="C11" s="6">
        <f>DCF!F18</f>
        <v/>
      </c>
      <c r="D11" s="1" t="n"/>
      <c r="E11" s="1" t="n"/>
      <c r="F11" s="1" t="n"/>
      <c r="G11" s="1" t="n"/>
      <c r="H11" s="1" t="n"/>
    </row>
    <row r="12">
      <c r="A12" s="1" t="n"/>
      <c r="B12" s="5" t="inlineStr">
        <is>
          <t>Market price used</t>
        </is>
      </c>
      <c r="C12" s="6">
        <f>Assumptions!C14</f>
        <v/>
      </c>
      <c r="D12" s="1" t="n"/>
      <c r="E12" s="1" t="n"/>
      <c r="F12" s="1" t="n"/>
      <c r="G12" s="1" t="n"/>
      <c r="H12" s="1" t="n"/>
    </row>
    <row r="13">
      <c r="A13" s="1" t="n"/>
      <c r="B13" s="5" t="inlineStr">
        <is>
          <t>Implied upside</t>
        </is>
      </c>
      <c r="C13" s="6">
        <f>DCF!F19</f>
        <v/>
      </c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4" t="inlineStr">
        <is>
          <t>Workbook Tabs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7" t="inlineStr">
        <is>
          <t>Assumptions</t>
        </is>
      </c>
      <c r="C17" s="1" t="inlineStr">
        <is>
          <t>Editable drivers: revenue, margins, WACC, terminal growth, net debt, shares, spot price.</t>
        </is>
      </c>
      <c r="D17" s="1" t="n"/>
      <c r="E17" s="1" t="n"/>
      <c r="F17" s="1" t="n"/>
      <c r="G17" s="1" t="n"/>
      <c r="H17" s="1" t="n"/>
    </row>
    <row r="18">
      <c r="A18" s="1" t="n"/>
      <c r="B18" s="7" t="inlineStr">
        <is>
          <t>Operating Forecast</t>
        </is>
      </c>
      <c r="C18" s="1" t="inlineStr">
        <is>
          <t>FY2024A-FY2030E operating bridge and FCFF build.</t>
        </is>
      </c>
      <c r="D18" s="1" t="n"/>
      <c r="E18" s="1" t="n"/>
      <c r="F18" s="1" t="n"/>
      <c r="G18" s="1" t="n"/>
      <c r="H18" s="1" t="n"/>
    </row>
    <row r="19">
      <c r="A19" s="1" t="n"/>
      <c r="B19" s="7" t="inlineStr">
        <is>
          <t>DCF</t>
        </is>
      </c>
      <c r="C19" s="1" t="inlineStr">
        <is>
          <t>PV of FCFF, terminal value, EV, equity value, target price, upside.</t>
        </is>
      </c>
      <c r="D19" s="1" t="n"/>
      <c r="E19" s="1" t="n"/>
      <c r="F19" s="1" t="n"/>
      <c r="G19" s="1" t="n"/>
      <c r="H19" s="1" t="n"/>
    </row>
    <row r="20">
      <c r="A20" s="1" t="n"/>
      <c r="B20" s="7" t="inlineStr">
        <is>
          <t>Scenarios</t>
        </is>
      </c>
      <c r="C20" s="1" t="inlineStr">
        <is>
          <t>Bear/base/bull assumption set and implied valuation range.</t>
        </is>
      </c>
      <c r="D20" s="1" t="n"/>
      <c r="E20" s="1" t="n"/>
      <c r="F20" s="1" t="n"/>
      <c r="G20" s="1" t="n"/>
      <c r="H20" s="1" t="n"/>
    </row>
    <row r="21">
      <c r="A21" s="1" t="n"/>
      <c r="B21" s="7" t="inlineStr">
        <is>
          <t>Sensitivity</t>
        </is>
      </c>
      <c r="C21" s="1" t="inlineStr">
        <is>
          <t>Target price matrix across WACC and terminal growth.</t>
        </is>
      </c>
      <c r="D21" s="1" t="n"/>
      <c r="E21" s="1" t="n"/>
      <c r="F21" s="1" t="n"/>
      <c r="G21" s="1" t="n"/>
      <c r="H21" s="1" t="n"/>
    </row>
    <row r="22">
      <c r="A22" s="1" t="n"/>
      <c r="B22" s="7" t="inlineStr">
        <is>
          <t>Comps</t>
        </is>
      </c>
      <c r="C22" s="1" t="inlineStr">
        <is>
          <t>Peer multiple cross-check for reasonableness.</t>
        </is>
      </c>
      <c r="D22" s="1" t="n"/>
      <c r="E22" s="1" t="n"/>
      <c r="F22" s="1" t="n"/>
      <c r="G22" s="1" t="n"/>
      <c r="H22" s="1" t="n"/>
    </row>
    <row r="23">
      <c r="A23" s="1" t="n"/>
      <c r="B23" s="7" t="inlineStr">
        <is>
          <t>Sources</t>
        </is>
      </c>
      <c r="C23" s="1" t="inlineStr">
        <is>
          <t>Public source log and modeling notes.</t>
        </is>
      </c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4" t="inlineStr">
        <is>
          <t>Disclaimer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8" t="inlineStr">
        <is>
          <t>This model is an academic exercise and not investment advice. Inputs are editable and should be refreshed before use.</t>
        </is>
      </c>
      <c r="C27" s="21" t="n"/>
      <c r="D27" s="21" t="n"/>
      <c r="E27" s="21" t="n"/>
      <c r="F27" s="21" t="n"/>
      <c r="G27" s="21" t="n"/>
      <c r="H27" s="21" t="n"/>
    </row>
  </sheetData>
  <mergeCells count="3">
    <mergeCell ref="B3:H3"/>
    <mergeCell ref="B2:H2"/>
    <mergeCell ref="B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60" customWidth="1" min="4" max="4"/>
    <col width="1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Assumptions</t>
        </is>
      </c>
      <c r="C2" s="21" t="n"/>
      <c r="D2" s="21" t="n"/>
      <c r="E2" s="21" t="n"/>
      <c r="F2" s="21" t="n"/>
      <c r="G2" s="21" t="n"/>
      <c r="H2" s="21" t="n"/>
      <c r="I2" s="1" t="n"/>
      <c r="J2" s="1" t="n"/>
      <c r="K2" s="1" t="n"/>
    </row>
    <row r="3">
      <c r="A3" s="1" t="n"/>
      <c r="B3" s="3" t="inlineStr">
        <is>
          <t>Blue/yellow cells are editable inputs; formula tabs link back to this sheet.</t>
        </is>
      </c>
      <c r="C3" s="21" t="n"/>
      <c r="D3" s="21" t="n"/>
      <c r="E3" s="21" t="n"/>
      <c r="F3" s="21" t="n"/>
      <c r="G3" s="21" t="n"/>
      <c r="H3" s="2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t>General Inputs</t>
        </is>
      </c>
      <c r="C5" s="1" t="n"/>
      <c r="D5" s="1" t="n"/>
      <c r="E5" s="1" t="n"/>
      <c r="F5" s="4" t="inlineStr">
        <is>
          <t>Projection Drivers</t>
        </is>
      </c>
      <c r="G5" s="1" t="n"/>
      <c r="H5" s="1" t="n"/>
      <c r="I5" s="1" t="n"/>
      <c r="J5" s="1" t="n"/>
      <c r="K5" s="1" t="n"/>
    </row>
    <row r="6">
      <c r="A6" s="1" t="n"/>
      <c r="B6" s="5" t="inlineStr">
        <is>
          <t>Model date</t>
        </is>
      </c>
      <c r="C6" s="9" t="inlineStr">
        <is>
          <t>11-Jun-2026</t>
        </is>
      </c>
      <c r="D6" s="1" t="inlineStr">
        <is>
          <t>Source: model build date</t>
        </is>
      </c>
      <c r="E6" s="1" t="n"/>
      <c r="F6" s="10" t="inlineStr">
        <is>
          <t>Metric</t>
        </is>
      </c>
      <c r="G6" s="10" t="inlineStr">
        <is>
          <t>FY2026E</t>
        </is>
      </c>
      <c r="H6" s="10" t="inlineStr">
        <is>
          <t>FY2027E</t>
        </is>
      </c>
      <c r="I6" s="10" t="inlineStr">
        <is>
          <t>FY2028E</t>
        </is>
      </c>
      <c r="J6" s="10" t="inlineStr">
        <is>
          <t>FY2029E</t>
        </is>
      </c>
      <c r="K6" s="10" t="inlineStr">
        <is>
          <t>FY2030E</t>
        </is>
      </c>
    </row>
    <row r="7">
      <c r="A7" s="1" t="n"/>
      <c r="B7" s="5" t="inlineStr">
        <is>
          <t>Currency</t>
        </is>
      </c>
      <c r="C7" s="9" t="inlineStr">
        <is>
          <t>VND bn unless stated</t>
        </is>
      </c>
      <c r="D7" s="1" t="inlineStr">
        <is>
          <t>Source: convention</t>
        </is>
      </c>
      <c r="E7" s="1" t="n"/>
      <c r="F7" s="5" t="inlineStr">
        <is>
          <t>Revenue growth</t>
        </is>
      </c>
      <c r="G7" s="11" t="n">
        <v>0.28</v>
      </c>
      <c r="H7" s="11" t="n">
        <v>0.15</v>
      </c>
      <c r="I7" s="11" t="n">
        <v>0.09</v>
      </c>
      <c r="J7" s="11" t="n">
        <v>0.06</v>
      </c>
      <c r="K7" s="11" t="n">
        <v>0.04</v>
      </c>
    </row>
    <row r="8">
      <c r="A8" s="1" t="n"/>
      <c r="B8" s="5" t="inlineStr">
        <is>
          <t>FY2025 revenue</t>
        </is>
      </c>
      <c r="C8" s="12" t="n">
        <v>158330</v>
      </c>
      <c r="D8" s="1" t="inlineStr">
        <is>
          <t>Source: public 2025 result references; VND bn</t>
        </is>
      </c>
      <c r="E8" s="1" t="n"/>
      <c r="F8" s="5" t="inlineStr">
        <is>
          <t>EBITDA margin</t>
        </is>
      </c>
      <c r="G8" s="11" t="n">
        <v>0.142</v>
      </c>
      <c r="H8" s="11" t="n">
        <v>0.151</v>
      </c>
      <c r="I8" s="11" t="n">
        <v>0.158</v>
      </c>
      <c r="J8" s="11" t="n">
        <v>0.162</v>
      </c>
      <c r="K8" s="11" t="n">
        <v>0.162</v>
      </c>
    </row>
    <row r="9">
      <c r="A9" s="1" t="n"/>
      <c r="B9" s="5" t="inlineStr">
        <is>
          <t>FY2025 EBITDA margin</t>
        </is>
      </c>
      <c r="C9" s="11" t="n">
        <v>0.132</v>
      </c>
      <c r="D9" s="1" t="inlineStr">
        <is>
          <t>Source: modeled from public margin/earnings direction</t>
        </is>
      </c>
      <c r="E9" s="1" t="n"/>
      <c r="F9" s="5" t="inlineStr">
        <is>
          <t>D&amp;A / revenue</t>
        </is>
      </c>
      <c r="G9" s="11" t="n">
        <v>0.044</v>
      </c>
      <c r="H9" s="11" t="n">
        <v>0.042</v>
      </c>
      <c r="I9" s="11" t="n">
        <v>0.04</v>
      </c>
      <c r="J9" s="11" t="n">
        <v>0.038</v>
      </c>
      <c r="K9" s="11" t="n">
        <v>0.036</v>
      </c>
    </row>
    <row r="10">
      <c r="A10" s="1" t="n"/>
      <c r="B10" s="5" t="inlineStr">
        <is>
          <t>FY2025 D&amp;A / revenue</t>
        </is>
      </c>
      <c r="C10" s="11" t="n">
        <v>0.045</v>
      </c>
      <c r="D10" s="1" t="inlineStr">
        <is>
          <t>Source: model estimate</t>
        </is>
      </c>
      <c r="E10" s="1" t="n"/>
      <c r="F10" s="5" t="inlineStr">
        <is>
          <t>Capex / revenue</t>
        </is>
      </c>
      <c r="G10" s="11" t="n">
        <v>0.095</v>
      </c>
      <c r="H10" s="11" t="n">
        <v>0.075</v>
      </c>
      <c r="I10" s="11" t="n">
        <v>0.058</v>
      </c>
      <c r="J10" s="11" t="n">
        <v>0.048</v>
      </c>
      <c r="K10" s="11" t="n">
        <v>0.043</v>
      </c>
    </row>
    <row r="11">
      <c r="A11" s="1" t="n"/>
      <c r="B11" s="5" t="inlineStr">
        <is>
          <t>Tax rate</t>
        </is>
      </c>
      <c r="C11" s="11" t="n">
        <v>0.2</v>
      </c>
      <c r="D11" s="1" t="inlineStr">
        <is>
          <t>Source: Vietnam statutory corporate tax assumption</t>
        </is>
      </c>
      <c r="E11" s="1" t="n"/>
      <c r="F11" s="5" t="inlineStr">
        <is>
          <t>NWC / revenue change</t>
        </is>
      </c>
      <c r="G11" s="11" t="n">
        <v>0.075</v>
      </c>
      <c r="H11" s="11" t="n">
        <v>0.075</v>
      </c>
      <c r="I11" s="11" t="n">
        <v>0.07000000000000001</v>
      </c>
      <c r="J11" s="11" t="n">
        <v>0.065</v>
      </c>
      <c r="K11" s="11" t="n">
        <v>0.065</v>
      </c>
    </row>
    <row r="12">
      <c r="A12" s="1" t="n"/>
      <c r="B12" s="5" t="inlineStr">
        <is>
          <t>Net debt</t>
        </is>
      </c>
      <c r="C12" s="12" t="n">
        <v>52000</v>
      </c>
      <c r="D12" s="1" t="inlineStr">
        <is>
          <t>Source: model estimate, VND bn; adjusted for valuation framework consistency</t>
        </is>
      </c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5" t="inlineStr">
        <is>
          <t>Diluted shares</t>
        </is>
      </c>
      <c r="C13" s="12" t="n">
        <v>6400</v>
      </c>
      <c r="D13" s="1" t="inlineStr">
        <is>
          <t>Source: model estimate, million shares</t>
        </is>
      </c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5" t="inlineStr">
        <is>
          <t>Market price</t>
        </is>
      </c>
      <c r="C14" s="12" t="n">
        <v>23600</v>
      </c>
      <c r="D14" s="1" t="inlineStr">
        <is>
          <t>Source: public market price near 10-Jun-2026, VND/share</t>
        </is>
      </c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4" t="inlineStr">
        <is>
          <t>Scenario Controls</t>
        </is>
      </c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0" t="inlineStr">
        <is>
          <t>Scenario</t>
        </is>
      </c>
      <c r="G16" s="10" t="inlineStr">
        <is>
          <t>FY2026 growth</t>
        </is>
      </c>
      <c r="H16" s="10" t="inlineStr">
        <is>
          <t>Terminal EBITDA margin</t>
        </is>
      </c>
      <c r="I16" s="10" t="inlineStr">
        <is>
          <t>WACC</t>
        </is>
      </c>
      <c r="J16" s="10" t="inlineStr">
        <is>
          <t>Terminal growth</t>
        </is>
      </c>
      <c r="K16" s="1" t="n"/>
    </row>
    <row r="17">
      <c r="A17" s="1" t="n"/>
      <c r="B17" s="4" t="inlineStr">
        <is>
          <t>DCF Inputs</t>
        </is>
      </c>
      <c r="C17" s="1" t="n"/>
      <c r="D17" s="1" t="n"/>
      <c r="E17" s="1" t="n"/>
      <c r="F17" s="1" t="inlineStr">
        <is>
          <t>Bear</t>
        </is>
      </c>
      <c r="G17" s="11" t="n">
        <v>0.23</v>
      </c>
      <c r="H17" s="11" t="n">
        <v>0.145</v>
      </c>
      <c r="I17" s="11" t="n">
        <v>0.12</v>
      </c>
      <c r="J17" s="11" t="n">
        <v>0.02</v>
      </c>
      <c r="K17" s="1" t="n"/>
    </row>
    <row r="18">
      <c r="A18" s="1" t="n"/>
      <c r="B18" s="5" t="inlineStr">
        <is>
          <t>WACC</t>
        </is>
      </c>
      <c r="C18" s="11" t="n">
        <v>0.106</v>
      </c>
      <c r="D18" s="1" t="inlineStr">
        <is>
          <t>Base-case discount rate used in DCF sensitivity range</t>
        </is>
      </c>
      <c r="E18" s="1" t="n"/>
      <c r="F18" s="1" t="inlineStr">
        <is>
          <t>Base</t>
        </is>
      </c>
      <c r="G18" s="11" t="n">
        <v>0.28</v>
      </c>
      <c r="H18" s="11" t="n">
        <v>0.162</v>
      </c>
      <c r="I18" s="11" t="n">
        <v>0.106</v>
      </c>
      <c r="J18" s="11" t="n">
        <v>0.03</v>
      </c>
      <c r="K18" s="1" t="n"/>
    </row>
    <row r="19">
      <c r="A19" s="1" t="n"/>
      <c r="B19" s="5" t="inlineStr">
        <is>
          <t>Terminal growth</t>
        </is>
      </c>
      <c r="C19" s="11" t="n">
        <v>0.03</v>
      </c>
      <c r="D19" s="1" t="inlineStr">
        <is>
          <t>Nominal long-term FCFF growth</t>
        </is>
      </c>
      <c r="E19" s="1" t="n"/>
      <c r="F19" s="1" t="inlineStr">
        <is>
          <t>Bull</t>
        </is>
      </c>
      <c r="G19" s="11" t="n">
        <v>0.33</v>
      </c>
      <c r="H19" s="11" t="n">
        <v>0.175</v>
      </c>
      <c r="I19" s="11" t="n">
        <v>0.1</v>
      </c>
      <c r="J19" s="11" t="n">
        <v>0.035</v>
      </c>
      <c r="K19" s="1" t="n"/>
    </row>
    <row r="20">
      <c r="A20" s="1" t="n"/>
      <c r="B20" s="5" t="inlineStr">
        <is>
          <t>Mid-year convention</t>
        </is>
      </c>
      <c r="C20" s="9" t="inlineStr">
        <is>
          <t>No</t>
        </is>
      </c>
      <c r="D20" s="1" t="inlineStr">
        <is>
          <t>Year-end discounting used for simplicity</t>
        </is>
      </c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Operating Forecast</t>
        </is>
      </c>
      <c r="C2" s="21" t="n"/>
      <c r="D2" s="21" t="n"/>
      <c r="E2" s="21" t="n"/>
      <c r="F2" s="21" t="n"/>
      <c r="G2" s="21" t="n"/>
      <c r="H2" s="21" t="n"/>
      <c r="I2" s="1" t="n"/>
    </row>
    <row r="3">
      <c r="A3" s="1" t="n"/>
      <c r="B3" s="3" t="inlineStr">
        <is>
          <t>FY2024A-FY2030E operating bridge and free cash flow to firm.</t>
        </is>
      </c>
      <c r="C3" s="21" t="n"/>
      <c r="D3" s="21" t="n"/>
      <c r="E3" s="21" t="n"/>
      <c r="F3" s="21" t="n"/>
      <c r="G3" s="21" t="n"/>
      <c r="H3" s="2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0" t="inlineStr">
        <is>
          <t>FY2024A</t>
        </is>
      </c>
      <c r="D5" s="10" t="inlineStr">
        <is>
          <t>FY2025A</t>
        </is>
      </c>
      <c r="E5" s="10" t="inlineStr">
        <is>
          <t>FY2026E</t>
        </is>
      </c>
      <c r="F5" s="10" t="inlineStr">
        <is>
          <t>FY2027E</t>
        </is>
      </c>
      <c r="G5" s="10" t="inlineStr">
        <is>
          <t>FY2028E</t>
        </is>
      </c>
      <c r="H5" s="10" t="inlineStr">
        <is>
          <t>FY2029E</t>
        </is>
      </c>
      <c r="I5" s="10" t="inlineStr">
        <is>
          <t>FY2030E</t>
        </is>
      </c>
    </row>
    <row r="6">
      <c r="A6" s="1" t="n"/>
      <c r="B6" s="5" t="inlineStr">
        <is>
          <t>Revenue</t>
        </is>
      </c>
      <c r="C6" s="13" t="n">
        <v>140560</v>
      </c>
      <c r="D6" s="14">
        <f>Assumptions!C8</f>
        <v/>
      </c>
      <c r="E6" s="14">
        <f>D6*(1+Assumptions!G7)</f>
        <v/>
      </c>
      <c r="F6" s="14">
        <f>E6*(1+Assumptions!H7)</f>
        <v/>
      </c>
      <c r="G6" s="14">
        <f>F6*(1+Assumptions!I7)</f>
        <v/>
      </c>
      <c r="H6" s="14">
        <f>G6*(1+Assumptions!J7)</f>
        <v/>
      </c>
      <c r="I6" s="14">
        <f>H6*(1+Assumptions!K7)</f>
        <v/>
      </c>
    </row>
    <row r="7">
      <c r="A7" s="1" t="n"/>
      <c r="B7" s="5" t="inlineStr">
        <is>
          <t>Revenue growth</t>
        </is>
      </c>
      <c r="C7" s="15" t="inlineStr"/>
      <c r="D7" s="16">
        <f>D6/C6-1</f>
        <v/>
      </c>
      <c r="E7" s="16">
        <f>E6/D6-1</f>
        <v/>
      </c>
      <c r="F7" s="16">
        <f>F6/E6-1</f>
        <v/>
      </c>
      <c r="G7" s="16">
        <f>G6/F6-1</f>
        <v/>
      </c>
      <c r="H7" s="16">
        <f>H6/G6-1</f>
        <v/>
      </c>
      <c r="I7" s="16">
        <f>I6/H6-1</f>
        <v/>
      </c>
    </row>
    <row r="8">
      <c r="A8" s="1" t="n"/>
      <c r="B8" s="5" t="inlineStr">
        <is>
          <t>EBITDA</t>
        </is>
      </c>
      <c r="C8" s="14">
        <f>C6*12.8%</f>
        <v/>
      </c>
      <c r="D8" s="14">
        <f>D6*Assumptions!C9</f>
        <v/>
      </c>
      <c r="E8" s="14">
        <f>E6*Assumptions!G8</f>
        <v/>
      </c>
      <c r="F8" s="14">
        <f>F6*Assumptions!H8</f>
        <v/>
      </c>
      <c r="G8" s="14">
        <f>G6*Assumptions!I8</f>
        <v/>
      </c>
      <c r="H8" s="14">
        <f>H6*Assumptions!J8</f>
        <v/>
      </c>
      <c r="I8" s="14">
        <f>I6*Assumptions!K8</f>
        <v/>
      </c>
    </row>
    <row r="9">
      <c r="A9" s="1" t="n"/>
      <c r="B9" s="5" t="inlineStr">
        <is>
          <t>EBITDA margin</t>
        </is>
      </c>
      <c r="C9" s="16">
        <f>C8/C6</f>
        <v/>
      </c>
      <c r="D9" s="16">
        <f>D8/D6</f>
        <v/>
      </c>
      <c r="E9" s="16">
        <f>E8/E6</f>
        <v/>
      </c>
      <c r="F9" s="16">
        <f>F8/F6</f>
        <v/>
      </c>
      <c r="G9" s="16">
        <f>G8/G6</f>
        <v/>
      </c>
      <c r="H9" s="16">
        <f>H8/H6</f>
        <v/>
      </c>
      <c r="I9" s="16">
        <f>I8/I6</f>
        <v/>
      </c>
    </row>
    <row r="10">
      <c r="A10" s="1" t="n"/>
      <c r="B10" s="5" t="inlineStr">
        <is>
          <t>D&amp;A</t>
        </is>
      </c>
      <c r="C10" s="14">
        <f>C6*4.6%</f>
        <v/>
      </c>
      <c r="D10" s="14">
        <f>D6*Assumptions!C10</f>
        <v/>
      </c>
      <c r="E10" s="14">
        <f>E6*Assumptions!G9</f>
        <v/>
      </c>
      <c r="F10" s="14">
        <f>F6*Assumptions!H9</f>
        <v/>
      </c>
      <c r="G10" s="14">
        <f>G6*Assumptions!I9</f>
        <v/>
      </c>
      <c r="H10" s="14">
        <f>H6*Assumptions!J9</f>
        <v/>
      </c>
      <c r="I10" s="14">
        <f>I6*Assumptions!K9</f>
        <v/>
      </c>
    </row>
    <row r="11">
      <c r="A11" s="1" t="n"/>
      <c r="B11" s="5" t="inlineStr">
        <is>
          <t>EBIT</t>
        </is>
      </c>
      <c r="C11" s="14">
        <f>C8-C10</f>
        <v/>
      </c>
      <c r="D11" s="14">
        <f>D8-D10</f>
        <v/>
      </c>
      <c r="E11" s="14">
        <f>E8-E10</f>
        <v/>
      </c>
      <c r="F11" s="14">
        <f>F8-F10</f>
        <v/>
      </c>
      <c r="G11" s="14">
        <f>G8-G10</f>
        <v/>
      </c>
      <c r="H11" s="14">
        <f>H8-H10</f>
        <v/>
      </c>
      <c r="I11" s="14">
        <f>I8-I10</f>
        <v/>
      </c>
    </row>
    <row r="12">
      <c r="A12" s="1" t="n"/>
      <c r="B12" s="5" t="inlineStr">
        <is>
          <t>Tax on EBIT</t>
        </is>
      </c>
      <c r="C12" s="14">
        <f>C11*Assumptions!$C$11</f>
        <v/>
      </c>
      <c r="D12" s="14">
        <f>D11*Assumptions!$C$11</f>
        <v/>
      </c>
      <c r="E12" s="14">
        <f>E11*Assumptions!$C$11</f>
        <v/>
      </c>
      <c r="F12" s="14">
        <f>F11*Assumptions!$C$11</f>
        <v/>
      </c>
      <c r="G12" s="14">
        <f>G11*Assumptions!$C$11</f>
        <v/>
      </c>
      <c r="H12" s="14">
        <f>H11*Assumptions!$C$11</f>
        <v/>
      </c>
      <c r="I12" s="14">
        <f>I11*Assumptions!$C$11</f>
        <v/>
      </c>
    </row>
    <row r="13">
      <c r="A13" s="1" t="n"/>
      <c r="B13" s="5" t="inlineStr">
        <is>
          <t>NOPAT</t>
        </is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  <c r="G13" s="14">
        <f>G11-G12</f>
        <v/>
      </c>
      <c r="H13" s="14">
        <f>H11-H12</f>
        <v/>
      </c>
      <c r="I13" s="14">
        <f>I11-I12</f>
        <v/>
      </c>
    </row>
    <row r="14">
      <c r="A14" s="1" t="n"/>
      <c r="B14" s="5" t="inlineStr">
        <is>
          <t>Capex</t>
        </is>
      </c>
      <c r="C14" s="14">
        <f>C6*8.0%</f>
        <v/>
      </c>
      <c r="D14" s="14">
        <f>D6*8.0%</f>
        <v/>
      </c>
      <c r="E14" s="14">
        <f>E6*Assumptions!G10</f>
        <v/>
      </c>
      <c r="F14" s="14">
        <f>F6*Assumptions!H10</f>
        <v/>
      </c>
      <c r="G14" s="14">
        <f>G6*Assumptions!I10</f>
        <v/>
      </c>
      <c r="H14" s="14">
        <f>H6*Assumptions!J10</f>
        <v/>
      </c>
      <c r="I14" s="14">
        <f>I6*Assumptions!K10</f>
        <v/>
      </c>
    </row>
    <row r="15">
      <c r="A15" s="1" t="n"/>
      <c r="B15" s="5" t="inlineStr">
        <is>
          <t>Change in NWC</t>
        </is>
      </c>
      <c r="C15" s="14">
        <f>C6*6.5%</f>
        <v/>
      </c>
      <c r="D15" s="14">
        <f>D6*6.5%</f>
        <v/>
      </c>
      <c r="E15" s="14">
        <f>(E6-D6)*Assumptions!G11</f>
        <v/>
      </c>
      <c r="F15" s="14">
        <f>(F6-E6)*Assumptions!H11</f>
        <v/>
      </c>
      <c r="G15" s="14">
        <f>(G6-F6)*Assumptions!I11</f>
        <v/>
      </c>
      <c r="H15" s="14">
        <f>(H6-G6)*Assumptions!J11</f>
        <v/>
      </c>
      <c r="I15" s="14">
        <f>(I6-H6)*Assumptions!K11</f>
        <v/>
      </c>
    </row>
    <row r="16">
      <c r="A16" s="1" t="n"/>
      <c r="B16" s="5" t="inlineStr">
        <is>
          <t>FCFF</t>
        </is>
      </c>
      <c r="C16" s="14">
        <f>C13+C10-C14-C15</f>
        <v/>
      </c>
      <c r="D16" s="14">
        <f>D13+D10-D14-D15</f>
        <v/>
      </c>
      <c r="E16" s="14">
        <f>E13+E10-E14-E15</f>
        <v/>
      </c>
      <c r="F16" s="14">
        <f>F13+F10-F14-F15</f>
        <v/>
      </c>
      <c r="G16" s="14">
        <f>G13+G10-G14-G15</f>
        <v/>
      </c>
      <c r="H16" s="14">
        <f>H13+H10-H14-H15</f>
        <v/>
      </c>
      <c r="I16" s="14">
        <f>I13+I10-I14-I15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DCF Valuation</t>
        </is>
      </c>
      <c r="C2" s="21" t="n"/>
      <c r="D2" s="21" t="n"/>
      <c r="E2" s="21" t="n"/>
      <c r="F2" s="21" t="n"/>
      <c r="G2" s="21" t="n"/>
      <c r="H2" s="21" t="n"/>
    </row>
    <row r="3">
      <c r="A3" s="1" t="n"/>
      <c r="B3" s="3" t="inlineStr">
        <is>
          <t>FCFF discounted at WACC with Gordon-growth terminal value.</t>
        </is>
      </c>
      <c r="C3" s="21" t="n"/>
      <c r="D3" s="21" t="n"/>
      <c r="E3" s="21" t="n"/>
      <c r="F3" s="21" t="n"/>
      <c r="G3" s="21" t="n"/>
      <c r="H3" s="2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0" t="inlineStr">
        <is>
          <t>FY2026E</t>
        </is>
      </c>
      <c r="D5" s="10" t="inlineStr">
        <is>
          <t>FY2027E</t>
        </is>
      </c>
      <c r="E5" s="10" t="inlineStr">
        <is>
          <t>FY2028E</t>
        </is>
      </c>
      <c r="F5" s="10" t="inlineStr">
        <is>
          <t>FY2029E</t>
        </is>
      </c>
      <c r="G5" s="10" t="inlineStr">
        <is>
          <t>FY2030E</t>
        </is>
      </c>
      <c r="H5" s="1" t="n"/>
    </row>
    <row r="6">
      <c r="A6" s="1" t="n"/>
      <c r="B6" s="5" t="inlineStr">
        <is>
          <t>FCFF</t>
        </is>
      </c>
      <c r="C6" s="14">
        <f>'Operating Forecast'!E16</f>
        <v/>
      </c>
      <c r="D6" s="14">
        <f>'Operating Forecast'!F16</f>
        <v/>
      </c>
      <c r="E6" s="14">
        <f>'Operating Forecast'!G16</f>
        <v/>
      </c>
      <c r="F6" s="14">
        <f>'Operating Forecast'!H16</f>
        <v/>
      </c>
      <c r="G6" s="14">
        <f>'Operating Forecast'!I16</f>
        <v/>
      </c>
      <c r="H6" s="1" t="n"/>
    </row>
    <row r="7">
      <c r="A7" s="1" t="n"/>
      <c r="B7" s="5" t="inlineStr">
        <is>
          <t>Discount period</t>
        </is>
      </c>
      <c r="C7" s="1" t="n">
        <v>1</v>
      </c>
      <c r="D7" s="1" t="n">
        <v>2</v>
      </c>
      <c r="E7" s="1" t="n">
        <v>3</v>
      </c>
      <c r="F7" s="1" t="n">
        <v>4</v>
      </c>
      <c r="G7" s="1" t="n">
        <v>5</v>
      </c>
      <c r="H7" s="1" t="n"/>
    </row>
    <row r="8">
      <c r="A8" s="1" t="n"/>
      <c r="B8" s="5" t="inlineStr">
        <is>
          <t>Discount factor</t>
        </is>
      </c>
      <c r="C8" s="6">
        <f>1/(1+Assumptions!$C$18)^C7</f>
        <v/>
      </c>
      <c r="D8" s="6">
        <f>1/(1+Assumptions!$C$18)^D7</f>
        <v/>
      </c>
      <c r="E8" s="6">
        <f>1/(1+Assumptions!$C$18)^E7</f>
        <v/>
      </c>
      <c r="F8" s="6">
        <f>1/(1+Assumptions!$C$18)^F7</f>
        <v/>
      </c>
      <c r="G8" s="6">
        <f>1/(1+Assumptions!$C$18)^G7</f>
        <v/>
      </c>
      <c r="H8" s="1" t="n"/>
    </row>
    <row r="9">
      <c r="A9" s="1" t="n"/>
      <c r="B9" s="5" t="inlineStr">
        <is>
          <t>PV of FCFF</t>
        </is>
      </c>
      <c r="C9" s="14">
        <f>C6*C8</f>
        <v/>
      </c>
      <c r="D9" s="14">
        <f>D6*D8</f>
        <v/>
      </c>
      <c r="E9" s="14">
        <f>E6*E8</f>
        <v/>
      </c>
      <c r="F9" s="14">
        <f>F6*F8</f>
        <v/>
      </c>
      <c r="G9" s="14">
        <f>G6*G8</f>
        <v/>
      </c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Valuation Bridge</t>
        </is>
      </c>
      <c r="C12" s="1" t="n"/>
      <c r="D12" s="1" t="n"/>
      <c r="E12" s="1" t="n"/>
      <c r="F12" s="1" t="n"/>
      <c r="G12" s="1" t="n"/>
      <c r="H12" s="1" t="n"/>
    </row>
    <row r="13">
      <c r="A13" s="1" t="n"/>
      <c r="B13" s="5" t="inlineStr">
        <is>
          <t>PV explicit FCFF</t>
        </is>
      </c>
      <c r="C13" s="14">
        <f>SUM(C9:G9)</f>
        <v/>
      </c>
      <c r="D13" s="13" t="n"/>
      <c r="E13" s="13" t="n"/>
      <c r="F13" s="13" t="n"/>
      <c r="G13" s="13" t="n"/>
      <c r="H13" s="1" t="n"/>
    </row>
    <row r="14">
      <c r="A14" s="1" t="n"/>
      <c r="B14" s="5" t="inlineStr">
        <is>
          <t>Terminal FCFF</t>
        </is>
      </c>
      <c r="C14" s="14">
        <f>G6*(1+Assumptions!$C$19)</f>
        <v/>
      </c>
      <c r="D14" s="13" t="n"/>
      <c r="E14" s="13" t="n"/>
      <c r="F14" s="13" t="n"/>
      <c r="G14" s="13" t="n"/>
      <c r="H14" s="1" t="n"/>
    </row>
    <row r="15">
      <c r="A15" s="1" t="n"/>
      <c r="B15" s="5" t="inlineStr">
        <is>
          <t>Terminal value</t>
        </is>
      </c>
      <c r="C15" s="14">
        <f>C14/(Assumptions!$C$18-Assumptions!$C$19)</f>
        <v/>
      </c>
      <c r="D15" s="13" t="n"/>
      <c r="E15" s="13" t="n"/>
      <c r="F15" s="13" t="n"/>
      <c r="G15" s="13" t="n"/>
      <c r="H15" s="1" t="n"/>
    </row>
    <row r="16">
      <c r="A16" s="1" t="n"/>
      <c r="B16" s="5" t="inlineStr">
        <is>
          <t>PV terminal value</t>
        </is>
      </c>
      <c r="C16" s="14">
        <f>C15*G8</f>
        <v/>
      </c>
      <c r="D16" s="13" t="n"/>
      <c r="E16" s="13" t="n"/>
      <c r="F16" s="13" t="inlineStr">
        <is>
          <t>Target price</t>
        </is>
      </c>
      <c r="G16" s="13" t="n"/>
      <c r="H16" s="1" t="n"/>
    </row>
    <row r="17">
      <c r="A17" s="1" t="n"/>
      <c r="B17" s="5" t="inlineStr">
        <is>
          <t>Enterprise value</t>
        </is>
      </c>
      <c r="C17" s="14">
        <f>C13+C16</f>
        <v/>
      </c>
      <c r="D17" s="13" t="n"/>
      <c r="E17" s="13" t="n"/>
      <c r="F17" s="14">
        <f>C21</f>
        <v/>
      </c>
      <c r="G17" s="13" t="n"/>
      <c r="H17" s="1" t="n"/>
    </row>
    <row r="18">
      <c r="A18" s="1" t="n"/>
      <c r="B18" s="5" t="inlineStr">
        <is>
          <t>Less: net debt</t>
        </is>
      </c>
      <c r="C18" s="14">
        <f>Assumptions!$C$12</f>
        <v/>
      </c>
      <c r="D18" s="13" t="n"/>
      <c r="E18" s="13" t="n"/>
      <c r="F18" s="14">
        <f>C21</f>
        <v/>
      </c>
      <c r="G18" s="13" t="n"/>
      <c r="H18" s="1" t="n"/>
    </row>
    <row r="19">
      <c r="A19" s="1" t="n"/>
      <c r="B19" s="5" t="inlineStr">
        <is>
          <t>Equity value</t>
        </is>
      </c>
      <c r="C19" s="14">
        <f>C17-C18</f>
        <v/>
      </c>
      <c r="D19" s="13" t="n"/>
      <c r="E19" s="13" t="n"/>
      <c r="F19" s="16">
        <f>C22</f>
        <v/>
      </c>
      <c r="G19" s="13" t="n"/>
      <c r="H19" s="1" t="n"/>
    </row>
    <row r="20">
      <c r="A20" s="1" t="n"/>
      <c r="B20" s="5" t="inlineStr">
        <is>
          <t>Fair value / share</t>
        </is>
      </c>
      <c r="C20" s="14">
        <f>C19/Assumptions!$C$13*1000</f>
        <v/>
      </c>
      <c r="D20" s="13" t="n"/>
      <c r="E20" s="13" t="n"/>
      <c r="F20" s="13" t="n"/>
      <c r="G20" s="13" t="n"/>
      <c r="H20" s="1" t="n"/>
    </row>
    <row r="21">
      <c r="A21" s="1" t="n"/>
      <c r="B21" s="5" t="inlineStr">
        <is>
          <t>Rounded target price</t>
        </is>
      </c>
      <c r="C21" s="14">
        <f>ROUND(C20,-3)</f>
        <v/>
      </c>
      <c r="D21" s="13" t="n"/>
      <c r="E21" s="13" t="n"/>
      <c r="F21" s="13" t="n"/>
      <c r="G21" s="13" t="n"/>
      <c r="H21" s="1" t="n"/>
    </row>
    <row r="22">
      <c r="A22" s="1" t="n"/>
      <c r="B22" s="5" t="inlineStr">
        <is>
          <t>Upside / downside</t>
        </is>
      </c>
      <c r="C22" s="16">
        <f>C21/Assumptions!$C$14-1</f>
        <v/>
      </c>
      <c r="D22" s="1" t="n"/>
      <c r="E22" s="1" t="n"/>
      <c r="F22" s="1" t="n"/>
      <c r="G22" s="1" t="n"/>
      <c r="H22" s="1" t="n"/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Scenario Analysis</t>
        </is>
      </c>
      <c r="C2" s="21" t="n"/>
      <c r="D2" s="21" t="n"/>
      <c r="E2" s="21" t="n"/>
      <c r="F2" s="21" t="n"/>
      <c r="G2" s="21" t="n"/>
      <c r="H2" s="21" t="n"/>
    </row>
    <row r="3">
      <c r="A3" s="1" t="n"/>
      <c r="B3" s="3" t="inlineStr">
        <is>
          <t>Bear/base/bull framework; formulas approximate DCF output under alternative assumptions.</t>
        </is>
      </c>
      <c r="C3" s="21" t="n"/>
      <c r="D3" s="21" t="n"/>
      <c r="E3" s="21" t="n"/>
      <c r="F3" s="21" t="n"/>
      <c r="G3" s="21" t="n"/>
      <c r="H3" s="2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0" t="inlineStr">
        <is>
          <t>Scenario</t>
        </is>
      </c>
      <c r="C5" s="10" t="inlineStr">
        <is>
          <t>FY2026 Revenue Growth</t>
        </is>
      </c>
      <c r="D5" s="10" t="inlineStr">
        <is>
          <t>Terminal EBITDA Margin</t>
        </is>
      </c>
      <c r="E5" s="10" t="inlineStr">
        <is>
          <t>WACC</t>
        </is>
      </c>
      <c r="F5" s="10" t="inlineStr">
        <is>
          <t>Terminal Growth</t>
        </is>
      </c>
      <c r="G5" s="10" t="inlineStr">
        <is>
          <t>Target Price</t>
        </is>
      </c>
      <c r="H5" s="10" t="inlineStr">
        <is>
          <t>Upside / Downside</t>
        </is>
      </c>
    </row>
    <row r="6">
      <c r="A6" s="1" t="n"/>
      <c r="B6" s="6">
        <f>Assumptions!F17</f>
        <v/>
      </c>
      <c r="C6" s="16">
        <f>Assumptions!G17</f>
        <v/>
      </c>
      <c r="D6" s="16">
        <f>Assumptions!H17</f>
        <v/>
      </c>
      <c r="E6" s="16">
        <f>Assumptions!I17</f>
        <v/>
      </c>
      <c r="F6" s="16">
        <f>Assumptions!J17</f>
        <v/>
      </c>
      <c r="G6" s="17">
        <f>ROUND(DCF!$C$21*(1+(D6-Assumptions!$H$18)*4+(E6-Assumptions!$I$18)*-5+(F6-Assumptions!$J$18)*7),-3)</f>
        <v/>
      </c>
      <c r="H6" s="16">
        <f>G6/Assumptions!$C$14-1</f>
        <v/>
      </c>
    </row>
    <row r="7">
      <c r="A7" s="1" t="n"/>
      <c r="B7" s="6">
        <f>Assumptions!F18</f>
        <v/>
      </c>
      <c r="C7" s="16">
        <f>Assumptions!G18</f>
        <v/>
      </c>
      <c r="D7" s="16">
        <f>Assumptions!H18</f>
        <v/>
      </c>
      <c r="E7" s="16">
        <f>Assumptions!I18</f>
        <v/>
      </c>
      <c r="F7" s="16">
        <f>Assumptions!J18</f>
        <v/>
      </c>
      <c r="G7" s="17">
        <f>ROUND(DCF!$C$21*(1+(D7-Assumptions!$H$18)*4+(E7-Assumptions!$I$18)*-5+(F7-Assumptions!$J$18)*7),-3)</f>
        <v/>
      </c>
      <c r="H7" s="16">
        <f>G7/Assumptions!$C$14-1</f>
        <v/>
      </c>
    </row>
    <row r="8">
      <c r="A8" s="1" t="n"/>
      <c r="B8" s="6">
        <f>Assumptions!F19</f>
        <v/>
      </c>
      <c r="C8" s="16">
        <f>Assumptions!G19</f>
        <v/>
      </c>
      <c r="D8" s="16">
        <f>Assumptions!H19</f>
        <v/>
      </c>
      <c r="E8" s="16">
        <f>Assumptions!I19</f>
        <v/>
      </c>
      <c r="F8" s="16">
        <f>Assumptions!J19</f>
        <v/>
      </c>
      <c r="G8" s="17">
        <f>ROUND(DCF!$C$21*(1+(D8-Assumptions!$H$18)*4+(E8-Assumptions!$I$18)*-5+(F8-Assumptions!$J$18)*7),-3)</f>
        <v/>
      </c>
      <c r="H8" s="16">
        <f>G8/Assumptions!$C$14-1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Sensitivity</t>
        </is>
      </c>
      <c r="C2" s="21" t="n"/>
      <c r="D2" s="21" t="n"/>
      <c r="E2" s="21" t="n"/>
      <c r="F2" s="21" t="n"/>
      <c r="G2" s="21" t="n"/>
      <c r="H2" s="21" t="n"/>
    </row>
    <row r="3">
      <c r="A3" s="1" t="n"/>
      <c r="B3" s="3" t="inlineStr">
        <is>
          <t>Target price sensitivity to WACC and terminal growth.</t>
        </is>
      </c>
      <c r="C3" s="21" t="n"/>
      <c r="D3" s="21" t="n"/>
      <c r="E3" s="21" t="n"/>
      <c r="F3" s="21" t="n"/>
      <c r="G3" s="21" t="n"/>
      <c r="H3" s="2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0" t="inlineStr">
        <is>
          <t>WACC \ Terminal growth</t>
        </is>
      </c>
      <c r="C5" s="18" t="n">
        <v>0.02</v>
      </c>
      <c r="D5" s="18" t="n">
        <v>0.025</v>
      </c>
      <c r="E5" s="18" t="n">
        <v>0.03</v>
      </c>
      <c r="F5" s="18" t="n">
        <v>0.035</v>
      </c>
      <c r="G5" s="18" t="n">
        <v>0.04</v>
      </c>
      <c r="H5" s="1" t="n"/>
    </row>
    <row r="6">
      <c r="A6" s="1" t="n"/>
      <c r="B6" s="15" t="n">
        <v>0.1</v>
      </c>
      <c r="C6" s="17">
        <f>ROUND(((SUM(DCF!C9:G9)+(DCF!G6*(1+C$5)/($B6-C$5))*DCF!G8)-Assumptions!$C$12)/Assumptions!$C$13*1000,-3)</f>
        <v/>
      </c>
      <c r="D6" s="17">
        <f>ROUND(((SUM(DCF!C9:G9)+(DCF!G6*(1+D$5)/($B6-D$5))*DCF!G8)-Assumptions!$C$12)/Assumptions!$C$13*1000,-3)</f>
        <v/>
      </c>
      <c r="E6" s="17">
        <f>ROUND(((SUM(DCF!C9:G9)+(DCF!G6*(1+E$5)/($B6-E$5))*DCF!G8)-Assumptions!$C$12)/Assumptions!$C$13*1000,-3)</f>
        <v/>
      </c>
      <c r="F6" s="17">
        <f>ROUND(((SUM(DCF!C9:G9)+(DCF!G6*(1+F$5)/($B6-F$5))*DCF!G8)-Assumptions!$C$12)/Assumptions!$C$13*1000,-3)</f>
        <v/>
      </c>
      <c r="G6" s="17">
        <f>ROUND(((SUM(DCF!C9:G9)+(DCF!G6*(1+G$5)/($B6-G$5))*DCF!G8)-Assumptions!$C$12)/Assumptions!$C$13*1000,-3)</f>
        <v/>
      </c>
      <c r="H6" s="1" t="n"/>
    </row>
    <row r="7">
      <c r="A7" s="1" t="n"/>
      <c r="B7" s="15" t="n">
        <v>0.105</v>
      </c>
      <c r="C7" s="17">
        <f>ROUND(((SUM(DCF!C9:G9)+(DCF!G6*(1+C$5)/($B7-C$5))*DCF!G8)-Assumptions!$C$12)/Assumptions!$C$13*1000,-3)</f>
        <v/>
      </c>
      <c r="D7" s="17">
        <f>ROUND(((SUM(DCF!C9:G9)+(DCF!G6*(1+D$5)/($B7-D$5))*DCF!G8)-Assumptions!$C$12)/Assumptions!$C$13*1000,-3)</f>
        <v/>
      </c>
      <c r="E7" s="17">
        <f>ROUND(((SUM(DCF!C9:G9)+(DCF!G6*(1+E$5)/($B7-E$5))*DCF!G8)-Assumptions!$C$12)/Assumptions!$C$13*1000,-3)</f>
        <v/>
      </c>
      <c r="F7" s="17">
        <f>ROUND(((SUM(DCF!C9:G9)+(DCF!G6*(1+F$5)/($B7-F$5))*DCF!G8)-Assumptions!$C$12)/Assumptions!$C$13*1000,-3)</f>
        <v/>
      </c>
      <c r="G7" s="17">
        <f>ROUND(((SUM(DCF!C9:G9)+(DCF!G6*(1+G$5)/($B7-G$5))*DCF!G8)-Assumptions!$C$12)/Assumptions!$C$13*1000,-3)</f>
        <v/>
      </c>
      <c r="H7" s="1" t="n"/>
    </row>
    <row r="8">
      <c r="A8" s="1" t="n"/>
      <c r="B8" s="15" t="n">
        <v>0.112</v>
      </c>
      <c r="C8" s="17">
        <f>ROUND(((SUM(DCF!C9:G9)+(DCF!G6*(1+C$5)/($B8-C$5))*DCF!G8)-Assumptions!$C$12)/Assumptions!$C$13*1000,-3)</f>
        <v/>
      </c>
      <c r="D8" s="17">
        <f>ROUND(((SUM(DCF!C9:G9)+(DCF!G6*(1+D$5)/($B8-D$5))*DCF!G8)-Assumptions!$C$12)/Assumptions!$C$13*1000,-3)</f>
        <v/>
      </c>
      <c r="E8" s="17">
        <f>ROUND(((SUM(DCF!C9:G9)+(DCF!G6*(1+E$5)/($B8-E$5))*DCF!G8)-Assumptions!$C$12)/Assumptions!$C$13*1000,-3)</f>
        <v/>
      </c>
      <c r="F8" s="17">
        <f>ROUND(((SUM(DCF!C9:G9)+(DCF!G6*(1+F$5)/($B8-F$5))*DCF!G8)-Assumptions!$C$12)/Assumptions!$C$13*1000,-3)</f>
        <v/>
      </c>
      <c r="G8" s="17">
        <f>ROUND(((SUM(DCF!C9:G9)+(DCF!G6*(1+G$5)/($B8-G$5))*DCF!G8)-Assumptions!$C$12)/Assumptions!$C$13*1000,-3)</f>
        <v/>
      </c>
      <c r="H8" s="1" t="n"/>
    </row>
    <row r="9">
      <c r="A9" s="1" t="n"/>
      <c r="B9" s="15" t="n">
        <v>0.12</v>
      </c>
      <c r="C9" s="17">
        <f>ROUND(((SUM(DCF!C9:G9)+(DCF!G6*(1+C$5)/($B9-C$5))*DCF!G8)-Assumptions!$C$12)/Assumptions!$C$13*1000,-3)</f>
        <v/>
      </c>
      <c r="D9" s="17">
        <f>ROUND(((SUM(DCF!C9:G9)+(DCF!G6*(1+D$5)/($B9-D$5))*DCF!G8)-Assumptions!$C$12)/Assumptions!$C$13*1000,-3)</f>
        <v/>
      </c>
      <c r="E9" s="17">
        <f>ROUND(((SUM(DCF!C9:G9)+(DCF!G6*(1+E$5)/($B9-E$5))*DCF!G8)-Assumptions!$C$12)/Assumptions!$C$13*1000,-3)</f>
        <v/>
      </c>
      <c r="F9" s="17">
        <f>ROUND(((SUM(DCF!C9:G9)+(DCF!G6*(1+F$5)/($B9-F$5))*DCF!G8)-Assumptions!$C$12)/Assumptions!$C$13*1000,-3)</f>
        <v/>
      </c>
      <c r="G9" s="17">
        <f>ROUND(((SUM(DCF!C9:G9)+(DCF!G6*(1+G$5)/($B9-G$5))*DCF!G8)-Assumptions!$C$12)/Assumptions!$C$13*1000,-3)</f>
        <v/>
      </c>
      <c r="H9" s="1" t="n"/>
    </row>
    <row r="10">
      <c r="A10" s="1" t="n"/>
      <c r="B10" s="15" t="n">
        <v>0.125</v>
      </c>
      <c r="C10" s="17">
        <f>ROUND(((SUM(DCF!C9:G9)+(DCF!G6*(1+C$5)/($B10-C$5))*DCF!G8)-Assumptions!$C$12)/Assumptions!$C$13*1000,-3)</f>
        <v/>
      </c>
      <c r="D10" s="17">
        <f>ROUND(((SUM(DCF!C9:G9)+(DCF!G6*(1+D$5)/($B10-D$5))*DCF!G8)-Assumptions!$C$12)/Assumptions!$C$13*1000,-3)</f>
        <v/>
      </c>
      <c r="E10" s="17">
        <f>ROUND(((SUM(DCF!C9:G9)+(DCF!G6*(1+E$5)/($B10-E$5))*DCF!G8)-Assumptions!$C$12)/Assumptions!$C$13*1000,-3)</f>
        <v/>
      </c>
      <c r="F10" s="17">
        <f>ROUND(((SUM(DCF!C9:G9)+(DCF!G6*(1+F$5)/($B10-F$5))*DCF!G8)-Assumptions!$C$12)/Assumptions!$C$13*1000,-3)</f>
        <v/>
      </c>
      <c r="G10" s="17">
        <f>ROUND(((SUM(DCF!C9:G9)+(DCF!G6*(1+G$5)/($B10-G$5))*DCF!G8)-Assumptions!$C$12)/Assumptions!$C$13*1000,-3)</f>
        <v/>
      </c>
      <c r="H10" s="1" t="n"/>
    </row>
  </sheetData>
  <mergeCells count="2">
    <mergeCell ref="B3:H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Trading Comps Cross-Check</t>
        </is>
      </c>
      <c r="C2" s="21" t="n"/>
      <c r="D2" s="21" t="n"/>
      <c r="E2" s="21" t="n"/>
      <c r="F2" s="21" t="n"/>
      <c r="G2" s="21" t="n"/>
      <c r="H2" s="21" t="n"/>
    </row>
    <row r="3">
      <c r="A3" s="1" t="n"/>
      <c r="B3" s="3" t="inlineStr">
        <is>
          <t>Illustrative peer-multiple triangulation; not the primary valuation method.</t>
        </is>
      </c>
      <c r="C3" s="21" t="n"/>
      <c r="D3" s="21" t="n"/>
      <c r="E3" s="21" t="n"/>
      <c r="F3" s="21" t="n"/>
      <c r="G3" s="21" t="n"/>
      <c r="H3" s="2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0" t="inlineStr">
        <is>
          <t>Company</t>
        </is>
      </c>
      <c r="C5" s="10" t="inlineStr">
        <is>
          <t>Ticker</t>
        </is>
      </c>
      <c r="D5" s="10" t="inlineStr">
        <is>
          <t>Market</t>
        </is>
      </c>
      <c r="E5" s="10" t="inlineStr">
        <is>
          <t>EV/EBITDA</t>
        </is>
      </c>
      <c r="F5" s="10" t="inlineStr">
        <is>
          <t>P/E</t>
        </is>
      </c>
      <c r="G5" s="10" t="inlineStr">
        <is>
          <t>Notes</t>
        </is>
      </c>
      <c r="H5" s="1" t="n"/>
    </row>
    <row r="6">
      <c r="A6" s="1" t="n"/>
      <c r="B6" s="1" t="inlineStr">
        <is>
          <t>Hoa Phat Group</t>
        </is>
      </c>
      <c r="C6" s="1" t="inlineStr">
        <is>
          <t>HPG VN</t>
        </is>
      </c>
      <c r="D6" s="1" t="inlineStr">
        <is>
          <t>Vietnam</t>
        </is>
      </c>
      <c r="E6" s="19">
        <f>DCF!C17/'Operating Forecast'!E8</f>
        <v/>
      </c>
      <c r="F6" s="19">
        <f>Assumptions!C14/('Operating Forecast'!E13/Assumptions!C13*1000)</f>
        <v/>
      </c>
      <c r="G6" s="1" t="inlineStr">
        <is>
          <t>Subject company, model-implied</t>
        </is>
      </c>
      <c r="H6" s="1" t="n"/>
    </row>
    <row r="7">
      <c r="A7" s="1" t="n"/>
      <c r="B7" s="1" t="inlineStr">
        <is>
          <t>Formosa Ha Tinh proxy</t>
        </is>
      </c>
      <c r="C7" s="1" t="inlineStr">
        <is>
          <t>Private</t>
        </is>
      </c>
      <c r="D7" s="1" t="inlineStr">
        <is>
          <t>Vietnam</t>
        </is>
      </c>
      <c r="E7" s="20" t="n">
        <v>7</v>
      </c>
      <c r="F7" s="20" t="n">
        <v>10.5</v>
      </c>
      <c r="G7" s="1" t="inlineStr">
        <is>
          <t>Illustrative integrated steel reference</t>
        </is>
      </c>
      <c r="H7" s="1" t="n"/>
    </row>
    <row r="8">
      <c r="A8" s="1" t="n"/>
      <c r="B8" s="1" t="inlineStr">
        <is>
          <t>POSCO Holdings</t>
        </is>
      </c>
      <c r="C8" s="1" t="inlineStr">
        <is>
          <t>005490 KS</t>
        </is>
      </c>
      <c r="D8" s="1" t="inlineStr">
        <is>
          <t>Korea</t>
        </is>
      </c>
      <c r="E8" s="20" t="n">
        <v>6.2</v>
      </c>
      <c r="F8" s="20" t="n">
        <v>9</v>
      </c>
      <c r="G8" s="1" t="inlineStr">
        <is>
          <t>Regional integrated steel peer</t>
        </is>
      </c>
      <c r="H8" s="1" t="n"/>
    </row>
    <row r="9">
      <c r="A9" s="1" t="n"/>
      <c r="B9" s="1" t="inlineStr">
        <is>
          <t>Baoshan Iron &amp; Steel</t>
        </is>
      </c>
      <c r="C9" s="1" t="inlineStr">
        <is>
          <t>600019 CH</t>
        </is>
      </c>
      <c r="D9" s="1" t="inlineStr">
        <is>
          <t>China</t>
        </is>
      </c>
      <c r="E9" s="20" t="n">
        <v>5.8</v>
      </c>
      <c r="F9" s="20" t="n">
        <v>8.5</v>
      </c>
      <c r="G9" s="1" t="inlineStr">
        <is>
          <t>China steel peer; lower multiple due to supply cycle</t>
        </is>
      </c>
      <c r="H9" s="1" t="n"/>
    </row>
  </sheetData>
  <mergeCells count="2"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70" customWidth="1" min="3" max="3"/>
    <col width="22" customWidth="1" min="4" max="4"/>
    <col width="18" customWidth="1" min="5" max="5"/>
    <col width="7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Sources &amp; Notes</t>
        </is>
      </c>
      <c r="C2" s="21" t="n"/>
      <c r="D2" s="21" t="n"/>
      <c r="E2" s="21" t="n"/>
      <c r="F2" s="21" t="n"/>
      <c r="G2" s="21" t="n"/>
      <c r="H2" s="21" t="n"/>
    </row>
    <row r="3">
      <c r="A3" s="1" t="n"/>
      <c r="B3" s="3" t="inlineStr">
        <is>
          <t>Public inputs used for academic modeling; refresh before investment use.</t>
        </is>
      </c>
      <c r="C3" s="21" t="n"/>
      <c r="D3" s="21" t="n"/>
      <c r="E3" s="21" t="n"/>
      <c r="F3" s="21" t="n"/>
      <c r="G3" s="21" t="n"/>
      <c r="H3" s="2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0" t="inlineStr">
        <is>
          <t>Topic</t>
        </is>
      </c>
      <c r="C5" s="10" t="inlineStr">
        <is>
          <t>Source</t>
        </is>
      </c>
      <c r="D5" s="10" t="inlineStr">
        <is>
          <t>Date / Period</t>
        </is>
      </c>
      <c r="E5" s="10" t="inlineStr">
        <is>
          <t>Model Use</t>
        </is>
      </c>
      <c r="F5" s="10" t="inlineStr">
        <is>
          <t>URL</t>
        </is>
      </c>
      <c r="G5" s="1" t="n"/>
      <c r="H5" s="1" t="n"/>
    </row>
    <row r="6">
      <c r="A6" s="1" t="n"/>
      <c r="B6" s="8" t="inlineStr">
        <is>
          <t>FY2025 operating base</t>
        </is>
      </c>
      <c r="C6" s="8" t="inlineStr">
        <is>
          <t>Hoa Phat Group Annual Report 2025</t>
        </is>
      </c>
      <c r="D6" s="8" t="inlineStr">
        <is>
          <t>FY2025</t>
        </is>
      </c>
      <c r="E6" s="8" t="inlineStr">
        <is>
          <t>Revenue, Dung Quat 2 ramp context</t>
        </is>
      </c>
      <c r="F6" s="8" t="inlineStr">
        <is>
          <t>https://file.hoaphat.com.vn/hoaphat-com-vn/2026/04/annual-report-2025-hpg.pdf</t>
        </is>
      </c>
      <c r="G6" s="1" t="n"/>
      <c r="H6" s="1" t="n"/>
    </row>
    <row r="7">
      <c r="A7" s="1" t="n"/>
      <c r="B7" s="8" t="inlineStr">
        <is>
          <t>Q1 2026 update</t>
        </is>
      </c>
      <c r="C7" s="8" t="inlineStr">
        <is>
          <t>Hoa Phat quarter summary via MarketScreener</t>
        </is>
      </c>
      <c r="D7" s="8" t="inlineStr">
        <is>
          <t>Q1 2026</t>
        </is>
      </c>
      <c r="E7" s="8" t="inlineStr">
        <is>
          <t>Revenue/profit growth direction</t>
        </is>
      </c>
      <c r="F7" s="8" t="inlineStr">
        <is>
          <t>https://www.marketscreener.com/news/hoa-phat-quarter-summary-quarter-i-2026-ce7f58dad98ef221</t>
        </is>
      </c>
      <c r="G7" s="1" t="n"/>
      <c r="H7" s="1" t="n"/>
    </row>
    <row r="8">
      <c r="A8" s="1" t="n"/>
      <c r="B8" s="8" t="inlineStr">
        <is>
          <t>Market price</t>
        </is>
      </c>
      <c r="C8" s="8" t="inlineStr">
        <is>
          <t>Investing.com / TradingView / Yahoo Finance public quote pages</t>
        </is>
      </c>
      <c r="D8" s="8" t="inlineStr">
        <is>
          <t>Jun 2026</t>
        </is>
      </c>
      <c r="E8" s="8" t="inlineStr">
        <is>
          <t>Spot price cross-check</t>
        </is>
      </c>
      <c r="F8" s="8" t="inlineStr">
        <is>
          <t>https://www.investing.com/equities/hoa-phat-group-jsc</t>
        </is>
      </c>
      <c r="G8" s="1" t="n"/>
      <c r="H8" s="1" t="n"/>
    </row>
    <row r="9">
      <c r="A9" s="1" t="n"/>
      <c r="B9" s="8" t="inlineStr">
        <is>
          <t>Broker triangulation</t>
        </is>
      </c>
      <c r="C9" s="8" t="inlineStr">
        <is>
          <t>Mirae Asset HPG update</t>
        </is>
      </c>
      <c r="D9" s="8" t="inlineStr">
        <is>
          <t>2026</t>
        </is>
      </c>
      <c r="E9" s="8" t="inlineStr">
        <is>
          <t>Revenue/margin direction cross-check</t>
        </is>
      </c>
      <c r="F9" s="8" t="inlineStr">
        <is>
          <t>https://masvn.com/api/attachment/file/1771843508095-EN_HPG_report_022326.pptx.pdf</t>
        </is>
      </c>
      <c r="G9" s="1" t="n"/>
      <c r="H9" s="1" t="n"/>
    </row>
    <row r="10">
      <c r="A10" s="1" t="n"/>
      <c r="B10" s="8" t="inlineStr">
        <is>
          <t>Model methodology</t>
        </is>
      </c>
      <c r="C10" s="8" t="inlineStr">
        <is>
          <t>Analyst assumptions</t>
        </is>
      </c>
      <c r="D10" s="8" t="inlineStr">
        <is>
          <t>11-Jun-2026</t>
        </is>
      </c>
      <c r="E10" s="8" t="inlineStr">
        <is>
          <t>WACC, terminal growth, capex normalization</t>
        </is>
      </c>
      <c r="F10" s="8" t="inlineStr">
        <is>
          <t>Internal academic model</t>
        </is>
      </c>
      <c r="G10" s="1" t="n"/>
      <c r="H10" s="1" t="n"/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2026-06-10T18:11:45Z</dcterms:created>
  <dcterms:modified xmlns:dcterms="http://purl.org/dc/terms/" xmlns:xsi="http://www.w3.org/2001/XMLSchema-instance" xsi:type="dcterms:W3CDTF">2026-06-10T18:12:50Z</dcterms:modified>
</cp:coreProperties>
</file>